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Kitchen &amp; BBD\2026\"/>
    </mc:Choice>
  </mc:AlternateContent>
  <xr:revisionPtr revIDLastSave="0" documentId="13_ncr:1_{F3D66ACE-BFD2-4EBE-B59E-4989AB4A1C90}" xr6:coauthVersionLast="47" xr6:coauthVersionMax="47" xr10:uidLastSave="{00000000-0000-0000-0000-000000000000}"/>
  <bookViews>
    <workbookView xWindow="-108" yWindow="-108" windowWidth="23256" windowHeight="12456" xr2:uid="{1F810CD4-E1B4-4B01-AB6B-27EDA54B1136}"/>
  </bookViews>
  <sheets>
    <sheet name="One Portion" sheetId="2" r:id="rId1"/>
    <sheet name="Sheet1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30" i="2" l="1"/>
  <c r="S133" i="2" s="1"/>
  <c r="S119" i="2"/>
  <c r="S116" i="2"/>
  <c r="S115" i="2"/>
  <c r="S114" i="2"/>
  <c r="S113" i="2"/>
  <c r="S112" i="2"/>
  <c r="S111" i="2"/>
  <c r="S110" i="2"/>
  <c r="S109" i="2"/>
  <c r="S108" i="2"/>
  <c r="S98" i="2"/>
  <c r="S100" i="2"/>
  <c r="S103" i="2"/>
  <c r="S97" i="2"/>
  <c r="S96" i="2"/>
  <c r="S95" i="2"/>
  <c r="S94" i="2"/>
  <c r="S93" i="2"/>
  <c r="S92" i="2"/>
  <c r="S91" i="2"/>
  <c r="S81" i="2"/>
  <c r="S80" i="2"/>
  <c r="S79" i="2"/>
  <c r="S78" i="2"/>
  <c r="S77" i="2"/>
  <c r="S76" i="2"/>
  <c r="S75" i="2"/>
  <c r="S83" i="2" s="1"/>
  <c r="S86" i="2" s="1"/>
  <c r="S65" i="2"/>
  <c r="S64" i="2"/>
  <c r="S63" i="2"/>
  <c r="S62" i="2"/>
  <c r="S61" i="2"/>
  <c r="S60" i="2"/>
  <c r="S59" i="2"/>
  <c r="S58" i="2"/>
  <c r="S67" i="2" s="1"/>
  <c r="S70" i="2" s="1"/>
  <c r="S48" i="2"/>
  <c r="S47" i="2"/>
  <c r="S46" i="2"/>
  <c r="S45" i="2"/>
  <c r="S44" i="2"/>
  <c r="S43" i="2"/>
  <c r="S42" i="2"/>
  <c r="S32" i="2"/>
  <c r="S31" i="2"/>
  <c r="S30" i="2"/>
  <c r="S29" i="2"/>
  <c r="S28" i="2"/>
  <c r="S27" i="2"/>
  <c r="S16" i="2"/>
  <c r="S15" i="2"/>
  <c r="S14" i="2"/>
  <c r="S13" i="2"/>
  <c r="S12" i="2"/>
  <c r="S11" i="2"/>
  <c r="S10" i="2"/>
  <c r="S9" i="2"/>
  <c r="S8" i="2"/>
  <c r="S7" i="2"/>
  <c r="S6" i="2"/>
  <c r="S5" i="2"/>
  <c r="S4" i="2"/>
  <c r="S18" i="2" s="1"/>
  <c r="S21" i="2" s="1"/>
  <c r="L15" i="2"/>
  <c r="E241" i="2"/>
  <c r="E240" i="2"/>
  <c r="E239" i="2"/>
  <c r="E238" i="2"/>
  <c r="E237" i="2"/>
  <c r="E236" i="2"/>
  <c r="E235" i="2"/>
  <c r="E234" i="2"/>
  <c r="E233" i="2"/>
  <c r="E243" i="2" s="1"/>
  <c r="E247" i="2" s="1"/>
  <c r="E232" i="2"/>
  <c r="E242" i="2"/>
  <c r="E222" i="2"/>
  <c r="E221" i="2"/>
  <c r="E220" i="2"/>
  <c r="E219" i="2"/>
  <c r="E218" i="2"/>
  <c r="E217" i="2"/>
  <c r="E216" i="2"/>
  <c r="E215" i="2"/>
  <c r="E214" i="2"/>
  <c r="E213" i="2"/>
  <c r="E212" i="2"/>
  <c r="E211" i="2"/>
  <c r="E210" i="2"/>
  <c r="E223" i="2" s="1"/>
  <c r="E227" i="2" s="1"/>
  <c r="E200" i="2"/>
  <c r="E199" i="2"/>
  <c r="E198" i="2"/>
  <c r="E197" i="2"/>
  <c r="E196" i="2"/>
  <c r="E195" i="2"/>
  <c r="E194" i="2"/>
  <c r="E193" i="2"/>
  <c r="E192" i="2"/>
  <c r="E191" i="2"/>
  <c r="E190" i="2"/>
  <c r="E189" i="2"/>
  <c r="E188" i="2"/>
  <c r="E187" i="2"/>
  <c r="E186" i="2"/>
  <c r="E185" i="2"/>
  <c r="E184" i="2"/>
  <c r="E183" i="2"/>
  <c r="E182" i="2"/>
  <c r="E201" i="2" s="1"/>
  <c r="E205" i="2" s="1"/>
  <c r="E172" i="2"/>
  <c r="E171" i="2"/>
  <c r="E161" i="2"/>
  <c r="E151" i="2"/>
  <c r="E170" i="2"/>
  <c r="E169" i="2"/>
  <c r="E168" i="2"/>
  <c r="E167" i="2"/>
  <c r="E166" i="2"/>
  <c r="E165" i="2"/>
  <c r="E164" i="2"/>
  <c r="E163" i="2"/>
  <c r="E162" i="2"/>
  <c r="E150" i="2"/>
  <c r="E143" i="2"/>
  <c r="E149" i="2"/>
  <c r="E148" i="2"/>
  <c r="E147" i="2"/>
  <c r="E146" i="2"/>
  <c r="E145" i="2"/>
  <c r="E144" i="2"/>
  <c r="E131" i="2"/>
  <c r="L128" i="2"/>
  <c r="L131" i="2"/>
  <c r="E130" i="2"/>
  <c r="E129" i="2"/>
  <c r="E128" i="2"/>
  <c r="E127" i="2"/>
  <c r="E126" i="2"/>
  <c r="E125" i="2"/>
  <c r="E124" i="2"/>
  <c r="E123" i="2"/>
  <c r="E122" i="2"/>
  <c r="E121" i="2"/>
  <c r="L130" i="2"/>
  <c r="E99" i="2"/>
  <c r="E111" i="2"/>
  <c r="E112" i="2"/>
  <c r="E110" i="2"/>
  <c r="E109" i="2"/>
  <c r="E108" i="2"/>
  <c r="E107" i="2"/>
  <c r="E106" i="2"/>
  <c r="E105" i="2"/>
  <c r="E104" i="2"/>
  <c r="E103" i="2"/>
  <c r="E102" i="2"/>
  <c r="E101" i="2"/>
  <c r="E100" i="2"/>
  <c r="L104" i="2"/>
  <c r="E89" i="2"/>
  <c r="L129" i="2"/>
  <c r="L127" i="2"/>
  <c r="L126" i="2"/>
  <c r="L125" i="2"/>
  <c r="L124" i="2"/>
  <c r="L123" i="2"/>
  <c r="L122" i="2"/>
  <c r="L121" i="2"/>
  <c r="L103" i="2"/>
  <c r="L102" i="2"/>
  <c r="L101" i="2"/>
  <c r="L100" i="2"/>
  <c r="L99" i="2"/>
  <c r="L85" i="2"/>
  <c r="L84" i="2"/>
  <c r="L83" i="2"/>
  <c r="L82" i="2"/>
  <c r="L81" i="2"/>
  <c r="L80" i="2"/>
  <c r="L79" i="2"/>
  <c r="L78" i="2"/>
  <c r="L68" i="2"/>
  <c r="L67" i="2"/>
  <c r="L66" i="2"/>
  <c r="L65" i="2"/>
  <c r="L64" i="2"/>
  <c r="L63" i="2"/>
  <c r="L62" i="2"/>
  <c r="L61" i="2"/>
  <c r="L60" i="2"/>
  <c r="L59" i="2"/>
  <c r="L58" i="2"/>
  <c r="L57" i="2"/>
  <c r="L56" i="2"/>
  <c r="L55" i="2"/>
  <c r="L54" i="2"/>
  <c r="L42" i="2"/>
  <c r="L27" i="2"/>
  <c r="L14" i="2"/>
  <c r="L13" i="2"/>
  <c r="L12" i="2"/>
  <c r="L11" i="2"/>
  <c r="L10" i="2"/>
  <c r="L9" i="2"/>
  <c r="L8" i="2"/>
  <c r="L7" i="2"/>
  <c r="L6" i="2"/>
  <c r="L5" i="2"/>
  <c r="L4" i="2"/>
  <c r="E16" i="2"/>
  <c r="L41" i="2"/>
  <c r="L40" i="2"/>
  <c r="L39" i="2"/>
  <c r="L38" i="2"/>
  <c r="L37" i="2"/>
  <c r="L36" i="2"/>
  <c r="L35" i="2"/>
  <c r="L34" i="2"/>
  <c r="L33" i="2"/>
  <c r="L32" i="2"/>
  <c r="L31" i="2"/>
  <c r="L30" i="2"/>
  <c r="L29" i="2"/>
  <c r="L28" i="2"/>
  <c r="E44" i="2"/>
  <c r="E85" i="2"/>
  <c r="E88" i="2"/>
  <c r="E87" i="2"/>
  <c r="E86" i="2"/>
  <c r="E84" i="2"/>
  <c r="E83" i="2"/>
  <c r="E82" i="2"/>
  <c r="E81" i="2"/>
  <c r="E80" i="2"/>
  <c r="E79" i="2"/>
  <c r="E78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67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4" i="2"/>
  <c r="E14" i="2"/>
  <c r="E13" i="2"/>
  <c r="E12" i="2"/>
  <c r="E11" i="2"/>
  <c r="E10" i="2"/>
  <c r="E9" i="2"/>
  <c r="E8" i="2"/>
  <c r="E7" i="2"/>
  <c r="E6" i="2"/>
  <c r="E5" i="2"/>
  <c r="E15" i="2"/>
  <c r="S34" i="2" l="1"/>
  <c r="S37" i="2" s="1"/>
  <c r="S50" i="2"/>
  <c r="S53" i="2" s="1"/>
  <c r="E173" i="2"/>
  <c r="E113" i="2"/>
  <c r="E116" i="2" s="1"/>
  <c r="E177" i="2"/>
  <c r="E132" i="2"/>
  <c r="E137" i="2" s="1"/>
  <c r="E152" i="2"/>
  <c r="E156" i="2" s="1"/>
  <c r="L132" i="2"/>
  <c r="L137" i="2" s="1"/>
  <c r="L106" i="2"/>
  <c r="L111" i="2" s="1"/>
  <c r="L69" i="2"/>
  <c r="L72" i="2" s="1"/>
  <c r="L44" i="2"/>
  <c r="L48" i="2" s="1"/>
  <c r="L89" i="2"/>
  <c r="L94" i="2" s="1"/>
  <c r="E17" i="2"/>
  <c r="E21" i="2" s="1"/>
  <c r="L17" i="2"/>
  <c r="L21" i="2" s="1"/>
  <c r="E90" i="2"/>
  <c r="E94" i="2" s="1"/>
  <c r="E68" i="2"/>
  <c r="E72" i="2" s="1"/>
  <c r="E45" i="2"/>
  <c r="E48" i="2" s="1"/>
</calcChain>
</file>

<file path=xl/sharedStrings.xml><?xml version="1.0" encoding="utf-8"?>
<sst xmlns="http://schemas.openxmlformats.org/spreadsheetml/2006/main" count="880" uniqueCount="114">
  <si>
    <t>Description</t>
  </si>
  <si>
    <t>Cost</t>
  </si>
  <si>
    <t>Qty</t>
  </si>
  <si>
    <t>U/M</t>
  </si>
  <si>
    <t>Total</t>
  </si>
  <si>
    <t>Beef Lean</t>
  </si>
  <si>
    <t>g</t>
  </si>
  <si>
    <t>Bell Pepper</t>
  </si>
  <si>
    <t>King Rice Bran Oil 5 L</t>
  </si>
  <si>
    <t>ml</t>
  </si>
  <si>
    <t>Turmeric Powder</t>
  </si>
  <si>
    <t>Chicken Seasoning Powder</t>
  </si>
  <si>
    <t>Chili Colored Powder</t>
  </si>
  <si>
    <t>Salt</t>
  </si>
  <si>
    <t>Garlic</t>
  </si>
  <si>
    <t>Shallot</t>
  </si>
  <si>
    <t>Golden Mountain Soy Sauce</t>
  </si>
  <si>
    <t>JH-PSB-12B(Side Dish Box)</t>
  </si>
  <si>
    <t>pcs</t>
  </si>
  <si>
    <t>Pure Refined Sugar</t>
  </si>
  <si>
    <t>Ginger</t>
  </si>
  <si>
    <t>Total Bill of Materials</t>
  </si>
  <si>
    <t>-MIX...</t>
  </si>
  <si>
    <t>Pork Tenderloin</t>
  </si>
  <si>
    <t>Cauliflower</t>
  </si>
  <si>
    <t>French Bean</t>
  </si>
  <si>
    <t>Scallion / Spring Onion</t>
  </si>
  <si>
    <t>Carrot</t>
  </si>
  <si>
    <t>Baby Corn</t>
  </si>
  <si>
    <t>Broccoli</t>
  </si>
  <si>
    <t>Healthy Boy Sweet Soy Sauce</t>
  </si>
  <si>
    <t>Black Pepper</t>
  </si>
  <si>
    <t>Dried Chili</t>
  </si>
  <si>
    <t>Chicken Thigh</t>
  </si>
  <si>
    <t>Thin Pork Layer</t>
  </si>
  <si>
    <t>White Pepper Powder</t>
  </si>
  <si>
    <t>Oyster Sauce</t>
  </si>
  <si>
    <t>Wa-Ooh Noodle</t>
  </si>
  <si>
    <t>Peanut Butter</t>
  </si>
  <si>
    <t>Chinese Kale</t>
  </si>
  <si>
    <t>Mala Paste</t>
  </si>
  <si>
    <t>Pork Soup Bone</t>
  </si>
  <si>
    <t>Vinegar</t>
  </si>
  <si>
    <t>Pork Ball</t>
  </si>
  <si>
    <t>Grace(B002)(Rice Box / 2)</t>
  </si>
  <si>
    <t>JH-PSB-26B/Big(Soup Box)</t>
  </si>
  <si>
    <t>FGN 0001 - Wa Ou Noddle ( ဝဥခေါက်ဆွဲ )</t>
  </si>
  <si>
    <t>Rice Vermicelli Small</t>
  </si>
  <si>
    <t>JH-PSB-2B(Sauce Box)</t>
  </si>
  <si>
    <t>FGN 0003 - Kyay Oh Noodle (Pork) ( ကြေးအိုး )</t>
  </si>
  <si>
    <t>FGN 0004 - Salad Shrimp and Vermicelli ( ပုဇွန်ပဲ ကြာဇံသုပ် )</t>
  </si>
  <si>
    <t>Bean Vermicelli</t>
  </si>
  <si>
    <t>Shrimp</t>
  </si>
  <si>
    <t>Tamarind Juice</t>
  </si>
  <si>
    <t>Fish Sauce</t>
  </si>
  <si>
    <t>Wheat Noodle</t>
  </si>
  <si>
    <t>Cabbage</t>
  </si>
  <si>
    <t>Chinese Celery</t>
  </si>
  <si>
    <t>Asparagus bean(Long Beans)</t>
  </si>
  <si>
    <t xml:space="preserve">FGN 0005 - Fried Noodle With Chicken ( ခေါက်ဆွဲကြော် )  </t>
  </si>
  <si>
    <t>FGN 0006 - Fried Vermicelli With Chicken ( ကြာဇံကြော် )</t>
  </si>
  <si>
    <t>FGB 0002 - Fried Beef with Bell Pepper (အမဲငရုတ်ပွ + ထမင်း)</t>
  </si>
  <si>
    <t>FGC 0019 - Stired Fried Chicken With Vegetables ( ကုန်းဘောင်ကြီးကြော် + ထမင်း)</t>
  </si>
  <si>
    <t>FGC 0020 - Stired Fried Chicken With Bell Pepper ( ကြက်ငရုတ်ပွ + ထမင်း )</t>
  </si>
  <si>
    <t>Rice</t>
  </si>
  <si>
    <t>JH-PSB-12B(Rice Box)</t>
  </si>
  <si>
    <t>DK 082  / 16B ( Soup Box )</t>
  </si>
  <si>
    <t>Sales Prices - 120 Thb</t>
  </si>
  <si>
    <t>Sales Prices - 95 Thb</t>
  </si>
  <si>
    <t>FGP 0012 - Fried Thin Pork Layer With Spring Onion
 ( ကြက်သွန်မြိတ်ဝက်သားပြားကြော် + ထမင်း )</t>
  </si>
  <si>
    <t>Sales Prices - 90 Thb</t>
  </si>
  <si>
    <t>Sales Prices - 80 Thb</t>
  </si>
  <si>
    <t>Sales Prices - 110 Thb</t>
  </si>
  <si>
    <t>Sales Prices - 70 Thb</t>
  </si>
  <si>
    <t>Rice Noodle</t>
  </si>
  <si>
    <t>Bok Choy</t>
  </si>
  <si>
    <t>Quail egg</t>
  </si>
  <si>
    <t>FGN 0007 - Myay Oh Mee Shay ( မြေအိုး မြီးရှည် )</t>
  </si>
  <si>
    <t>FGSF 0019 - Stired Fried Shrimp With Bell Pepper ( ပုဇွန်ငရုတ်ပွ + ထမင်း )</t>
  </si>
  <si>
    <t>Thai Fragrant Rice</t>
  </si>
  <si>
    <t>Cabbage (White Cabbage)</t>
  </si>
  <si>
    <t>Corn powder</t>
  </si>
  <si>
    <t>Snow Pear</t>
  </si>
  <si>
    <t>FGR 0001 - Steamed Rice ( ထမင်းပေါင်း )</t>
  </si>
  <si>
    <t>Squid Ring</t>
  </si>
  <si>
    <t>FGSF 0014 - Stired fried squid with bell pepper ( ကင်းမွန်ငရုတ်ပွ + ထမင်း  )</t>
  </si>
  <si>
    <t>FGSF 0014 - Stired fried squid with bell pepper ( ကင်းမွန်အစပ်ကြော် + ထမင်း  )</t>
  </si>
  <si>
    <t>Green Chili</t>
  </si>
  <si>
    <t>FGP 0002 - Sweet and Sour Pork ( ချိုချဉ်ကြော် + ထမင်း )</t>
  </si>
  <si>
    <t>Tomato</t>
  </si>
  <si>
    <t>Chili Sauce</t>
  </si>
  <si>
    <t>Fish cake</t>
  </si>
  <si>
    <t>Lime Juice</t>
  </si>
  <si>
    <t>FG SF 0021 - Rakhine Style Fish Cake Salad ( ရခိုင်ငါးဖယ်သုပ် + ထမင်း )</t>
  </si>
  <si>
    <t>Sales Prices - 100 Thb</t>
  </si>
  <si>
    <t>OverHead Cost</t>
  </si>
  <si>
    <t>FG SF 0003 - Shrimp with green chili ( ပုဇွန်ငရုတ်သီးစိမ်းချက် )</t>
  </si>
  <si>
    <t>FGV 0023 - Fried Mixed Vegetables ( အစိမ်းကြော် )</t>
  </si>
  <si>
    <t>Sales Prices - 45 Thb</t>
  </si>
  <si>
    <t>FGV 0022 - Fried Chinese Cabbage ( တရုတ်မုန်ညှင်းကြော် )</t>
  </si>
  <si>
    <t>Sales Prices - 35 Thb</t>
  </si>
  <si>
    <t>Bean Sprout</t>
  </si>
  <si>
    <t>FGV 0019 - Fried Bean Sprouts ( ပဲပင်ပေါက်ကြော် )</t>
  </si>
  <si>
    <t>FGV 0017 - Hot And Sour Fried Morning Glory ( ကန်စွန်းရွက် ချဉ်စပ် )</t>
  </si>
  <si>
    <t>Water Spinach (Morning Glory)</t>
  </si>
  <si>
    <t>Stired Fried Chinese Kale With Oyster Sauce</t>
  </si>
  <si>
    <t>Wood Ear Mushroom</t>
  </si>
  <si>
    <t>Coriander (Cilantro)</t>
  </si>
  <si>
    <t>FGV 0013 - Wood Ear Salad ( ကြွက်နားရွက်မှိုသုပ် )</t>
  </si>
  <si>
    <t>Sales Prices - 50 Thb</t>
  </si>
  <si>
    <t>FGV 0012 - Tomato Salad ( ခရမ်းချဉ်သီးသုပ် )</t>
  </si>
  <si>
    <t>Lime</t>
  </si>
  <si>
    <t>FGV 0007 - Fried English Gourd ( ဂေါ်ရခါးသီးကြော် )</t>
  </si>
  <si>
    <t>English Gourd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</si>
</sst>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"/>
    <numFmt numFmtId="166" formatCode="0.0000"/>
  </numFmts>
  <fonts count="11" x14ac:knownFonts="1">
    <font>
      <sz val="11"/>
      <color theme="1"/>
      <name val="Aptos Narrow"/>
      <family val="2"/>
      <scheme val="minor"/>
    </font>
    <font>
      <sz val="10"/>
      <color rgb="FF000000"/>
      <name val="Times New Roman"/>
      <family val="1"/>
    </font>
    <font>
      <sz val="9"/>
      <name val="Times New Roman"/>
      <family val="1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Times New Roman"/>
      <family val="1"/>
    </font>
    <font>
      <b/>
      <sz val="10"/>
      <color rgb="FFFF0000"/>
      <name val="Arial"/>
      <family val="2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8" fillId="0" borderId="0"/>
  </cellStyleXfs>
  <cellXfs count="169">
    <xf numFmtId="0" fontId="0" fillId="0" borderId="0" xfId="0"/>
    <xf numFmtId="0" fontId="3" fillId="0" borderId="0" xfId="1" applyFont="1" applyAlignment="1">
      <alignment horizontal="left" wrapText="1"/>
    </xf>
    <xf numFmtId="0" fontId="3" fillId="0" borderId="0" xfId="1" applyFont="1" applyAlignment="1">
      <alignment horizontal="left" vertical="center" wrapText="1"/>
    </xf>
    <xf numFmtId="0" fontId="4" fillId="0" borderId="0" xfId="0" applyFont="1"/>
    <xf numFmtId="0" fontId="6" fillId="0" borderId="0" xfId="1" applyFont="1" applyAlignment="1">
      <alignment horizontal="left" vertical="top" wrapText="1"/>
    </xf>
    <xf numFmtId="0" fontId="6" fillId="0" borderId="0" xfId="2" applyFont="1" applyAlignment="1">
      <alignment horizontal="center"/>
    </xf>
    <xf numFmtId="0" fontId="6" fillId="0" borderId="0" xfId="2" applyFont="1"/>
    <xf numFmtId="0" fontId="5" fillId="0" borderId="0" xfId="2" applyFont="1"/>
    <xf numFmtId="0" fontId="5" fillId="0" borderId="3" xfId="2" applyFont="1" applyBorder="1"/>
    <xf numFmtId="0" fontId="6" fillId="0" borderId="3" xfId="2" applyFont="1" applyBorder="1"/>
    <xf numFmtId="0" fontId="2" fillId="0" borderId="0" xfId="1" applyFont="1" applyAlignment="1">
      <alignment vertical="top" wrapText="1"/>
    </xf>
    <xf numFmtId="0" fontId="5" fillId="0" borderId="0" xfId="1" applyFont="1" applyAlignment="1">
      <alignment horizontal="left" vertical="top" wrapText="1"/>
    </xf>
    <xf numFmtId="0" fontId="5" fillId="0" borderId="3" xfId="1" applyFont="1" applyBorder="1" applyAlignment="1">
      <alignment horizontal="left" wrapText="1"/>
    </xf>
    <xf numFmtId="0" fontId="6" fillId="0" borderId="0" xfId="1" applyFont="1" applyAlignment="1">
      <alignment vertical="top" wrapText="1"/>
    </xf>
    <xf numFmtId="0" fontId="5" fillId="0" borderId="3" xfId="1" applyFont="1" applyBorder="1" applyAlignment="1">
      <alignment horizontal="center" wrapText="1"/>
    </xf>
    <xf numFmtId="1" fontId="3" fillId="0" borderId="0" xfId="1" applyNumberFormat="1" applyFont="1" applyAlignment="1">
      <alignment horizontal="center" vertical="top" shrinkToFit="1"/>
    </xf>
    <xf numFmtId="0" fontId="6" fillId="0" borderId="0" xfId="1" applyFont="1" applyAlignment="1">
      <alignment horizontal="center" vertical="top" wrapText="1"/>
    </xf>
    <xf numFmtId="2" fontId="3" fillId="0" borderId="0" xfId="1" applyNumberFormat="1" applyFont="1" applyAlignment="1">
      <alignment horizontal="center" vertical="top" shrinkToFit="1"/>
    </xf>
    <xf numFmtId="0" fontId="4" fillId="0" borderId="0" xfId="0" applyFont="1" applyAlignment="1">
      <alignment horizontal="center"/>
    </xf>
    <xf numFmtId="0" fontId="5" fillId="0" borderId="3" xfId="2" applyFont="1" applyBorder="1" applyAlignment="1">
      <alignment horizontal="center"/>
    </xf>
    <xf numFmtId="2" fontId="6" fillId="0" borderId="0" xfId="2" applyNumberFormat="1" applyFont="1" applyAlignment="1">
      <alignment horizontal="center"/>
    </xf>
    <xf numFmtId="1" fontId="6" fillId="0" borderId="0" xfId="2" applyNumberFormat="1" applyFont="1" applyAlignment="1">
      <alignment horizontal="center"/>
    </xf>
    <xf numFmtId="165" fontId="6" fillId="0" borderId="0" xfId="2" applyNumberFormat="1" applyFont="1" applyAlignment="1">
      <alignment horizontal="center"/>
    </xf>
    <xf numFmtId="2" fontId="6" fillId="0" borderId="3" xfId="2" applyNumberFormat="1" applyFont="1" applyBorder="1" applyAlignment="1">
      <alignment horizontal="center"/>
    </xf>
    <xf numFmtId="1" fontId="6" fillId="0" borderId="3" xfId="2" applyNumberFormat="1" applyFont="1" applyBorder="1" applyAlignment="1">
      <alignment horizontal="center"/>
    </xf>
    <xf numFmtId="0" fontId="6" fillId="0" borderId="3" xfId="2" applyFont="1" applyBorder="1" applyAlignment="1">
      <alignment horizontal="center"/>
    </xf>
    <xf numFmtId="0" fontId="7" fillId="0" borderId="0" xfId="2" applyFont="1" applyAlignment="1">
      <alignment horizontal="center" vertical="top"/>
    </xf>
    <xf numFmtId="1" fontId="5" fillId="0" borderId="0" xfId="2" applyNumberFormat="1" applyFont="1" applyAlignment="1">
      <alignment horizontal="center"/>
    </xf>
    <xf numFmtId="0" fontId="5" fillId="0" borderId="0" xfId="2" applyFont="1" applyAlignment="1">
      <alignment horizontal="center"/>
    </xf>
    <xf numFmtId="2" fontId="5" fillId="0" borderId="0" xfId="2" applyNumberFormat="1" applyFont="1" applyAlignment="1">
      <alignment horizontal="center"/>
    </xf>
    <xf numFmtId="0" fontId="5" fillId="0" borderId="3" xfId="1" applyFont="1" applyBorder="1" applyAlignment="1">
      <alignment horizontal="center"/>
    </xf>
    <xf numFmtId="165" fontId="6" fillId="0" borderId="0" xfId="1" applyNumberFormat="1" applyFont="1" applyAlignment="1">
      <alignment horizontal="center"/>
    </xf>
    <xf numFmtId="1" fontId="6" fillId="0" borderId="0" xfId="1" applyNumberFormat="1" applyFont="1" applyAlignment="1">
      <alignment horizontal="center"/>
    </xf>
    <xf numFmtId="0" fontId="6" fillId="0" borderId="0" xfId="1" applyFont="1" applyAlignment="1">
      <alignment horizontal="center"/>
    </xf>
    <xf numFmtId="2" fontId="6" fillId="0" borderId="0" xfId="1" applyNumberFormat="1" applyFont="1" applyAlignment="1">
      <alignment horizontal="center"/>
    </xf>
    <xf numFmtId="2" fontId="6" fillId="0" borderId="3" xfId="1" applyNumberFormat="1" applyFont="1" applyBorder="1" applyAlignment="1">
      <alignment horizontal="center"/>
    </xf>
    <xf numFmtId="1" fontId="6" fillId="0" borderId="3" xfId="1" applyNumberFormat="1" applyFont="1" applyBorder="1" applyAlignment="1">
      <alignment horizontal="center"/>
    </xf>
    <xf numFmtId="0" fontId="6" fillId="0" borderId="3" xfId="1" applyFont="1" applyBorder="1" applyAlignment="1">
      <alignment horizontal="center"/>
    </xf>
    <xf numFmtId="0" fontId="3" fillId="0" borderId="0" xfId="1" applyFont="1" applyAlignment="1">
      <alignment horizontal="center" wrapText="1"/>
    </xf>
    <xf numFmtId="2" fontId="7" fillId="0" borderId="0" xfId="1" applyNumberFormat="1" applyFont="1" applyAlignment="1">
      <alignment horizontal="center" vertical="top" shrinkToFit="1"/>
    </xf>
    <xf numFmtId="0" fontId="5" fillId="0" borderId="1" xfId="1" applyFont="1" applyBorder="1" applyAlignment="1">
      <alignment horizontal="center" vertical="center" wrapText="1"/>
    </xf>
    <xf numFmtId="164" fontId="3" fillId="0" borderId="2" xfId="1" applyNumberFormat="1" applyFont="1" applyBorder="1" applyAlignment="1">
      <alignment horizontal="center" vertical="center" shrinkToFit="1"/>
    </xf>
    <xf numFmtId="1" fontId="3" fillId="0" borderId="2" xfId="1" applyNumberFormat="1" applyFont="1" applyBorder="1" applyAlignment="1">
      <alignment horizontal="center" vertical="center" shrinkToFit="1"/>
    </xf>
    <xf numFmtId="0" fontId="6" fillId="0" borderId="2" xfId="1" applyFont="1" applyBorder="1" applyAlignment="1">
      <alignment horizontal="center" vertical="center" wrapText="1"/>
    </xf>
    <xf numFmtId="165" fontId="3" fillId="0" borderId="0" xfId="1" applyNumberFormat="1" applyFont="1" applyAlignment="1">
      <alignment horizontal="center" vertical="center" shrinkToFit="1"/>
    </xf>
    <xf numFmtId="1" fontId="3" fillId="0" borderId="0" xfId="1" applyNumberFormat="1" applyFont="1" applyAlignment="1">
      <alignment horizontal="center" vertical="center" shrinkToFit="1"/>
    </xf>
    <xf numFmtId="0" fontId="6" fillId="0" borderId="0" xfId="1" applyFont="1" applyAlignment="1">
      <alignment horizontal="center" vertical="center" wrapText="1"/>
    </xf>
    <xf numFmtId="2" fontId="3" fillId="0" borderId="0" xfId="1" applyNumberFormat="1" applyFont="1" applyAlignment="1">
      <alignment horizontal="center" vertical="center" shrinkToFit="1"/>
    </xf>
    <xf numFmtId="164" fontId="3" fillId="0" borderId="0" xfId="1" applyNumberFormat="1" applyFont="1" applyAlignment="1">
      <alignment horizontal="center" vertical="center" shrinkToFit="1"/>
    </xf>
    <xf numFmtId="2" fontId="3" fillId="0" borderId="1" xfId="1" applyNumberFormat="1" applyFont="1" applyBorder="1" applyAlignment="1">
      <alignment horizontal="center" vertical="center" shrinkToFit="1"/>
    </xf>
    <xf numFmtId="1" fontId="3" fillId="0" borderId="1" xfId="1" applyNumberFormat="1" applyFont="1" applyBorder="1" applyAlignment="1">
      <alignment horizontal="center" vertical="center" shrinkToFit="1"/>
    </xf>
    <xf numFmtId="0" fontId="6" fillId="0" borderId="1" xfId="1" applyFont="1" applyBorder="1" applyAlignment="1">
      <alignment horizontal="center" vertical="center" wrapText="1"/>
    </xf>
    <xf numFmtId="0" fontId="5" fillId="0" borderId="1" xfId="1" applyFont="1" applyBorder="1" applyAlignment="1">
      <alignment horizontal="left" vertical="center" wrapText="1"/>
    </xf>
    <xf numFmtId="166" fontId="3" fillId="0" borderId="0" xfId="1" applyNumberFormat="1" applyFont="1" applyAlignment="1">
      <alignment horizontal="center" vertical="center" shrinkToFit="1"/>
    </xf>
    <xf numFmtId="0" fontId="5" fillId="0" borderId="1" xfId="1" applyFont="1" applyBorder="1" applyAlignment="1">
      <alignment wrapText="1"/>
    </xf>
    <xf numFmtId="0" fontId="5" fillId="0" borderId="1" xfId="1" applyFont="1" applyBorder="1" applyAlignment="1">
      <alignment horizontal="left" wrapText="1"/>
    </xf>
    <xf numFmtId="0" fontId="5" fillId="0" borderId="1" xfId="1" applyFont="1" applyBorder="1" applyAlignment="1">
      <alignment horizontal="center" wrapText="1"/>
    </xf>
    <xf numFmtId="0" fontId="6" fillId="0" borderId="2" xfId="1" applyFont="1" applyBorder="1" applyAlignment="1">
      <alignment horizontal="left" wrapText="1"/>
    </xf>
    <xf numFmtId="164" fontId="3" fillId="0" borderId="2" xfId="1" applyNumberFormat="1" applyFont="1" applyBorder="1" applyAlignment="1">
      <alignment horizontal="center" shrinkToFit="1"/>
    </xf>
    <xf numFmtId="1" fontId="3" fillId="0" borderId="2" xfId="1" applyNumberFormat="1" applyFont="1" applyBorder="1" applyAlignment="1">
      <alignment horizontal="center" shrinkToFit="1"/>
    </xf>
    <xf numFmtId="0" fontId="6" fillId="0" borderId="2" xfId="1" applyFont="1" applyBorder="1" applyAlignment="1">
      <alignment horizontal="center" wrapText="1"/>
    </xf>
    <xf numFmtId="0" fontId="6" fillId="0" borderId="0" xfId="1" applyFont="1" applyAlignment="1">
      <alignment horizontal="left" wrapText="1"/>
    </xf>
    <xf numFmtId="2" fontId="3" fillId="0" borderId="0" xfId="1" applyNumberFormat="1" applyFont="1" applyAlignment="1">
      <alignment horizontal="center" shrinkToFit="1"/>
    </xf>
    <xf numFmtId="1" fontId="3" fillId="0" borderId="0" xfId="1" applyNumberFormat="1" applyFont="1" applyAlignment="1">
      <alignment horizontal="center" shrinkToFit="1"/>
    </xf>
    <xf numFmtId="0" fontId="6" fillId="0" borderId="0" xfId="1" applyFont="1" applyAlignment="1">
      <alignment horizontal="center" wrapText="1"/>
    </xf>
    <xf numFmtId="165" fontId="3" fillId="0" borderId="0" xfId="1" applyNumberFormat="1" applyFont="1" applyAlignment="1">
      <alignment horizontal="center" shrinkToFit="1"/>
    </xf>
    <xf numFmtId="166" fontId="3" fillId="0" borderId="0" xfId="1" applyNumberFormat="1" applyFont="1" applyAlignment="1">
      <alignment horizontal="center" shrinkToFit="1"/>
    </xf>
    <xf numFmtId="164" fontId="3" fillId="0" borderId="0" xfId="1" applyNumberFormat="1" applyFont="1" applyAlignment="1">
      <alignment horizontal="center" shrinkToFit="1"/>
    </xf>
    <xf numFmtId="0" fontId="6" fillId="0" borderId="1" xfId="1" applyFont="1" applyBorder="1" applyAlignment="1">
      <alignment horizontal="left" wrapText="1"/>
    </xf>
    <xf numFmtId="164" fontId="3" fillId="0" borderId="1" xfId="1" applyNumberFormat="1" applyFont="1" applyBorder="1" applyAlignment="1">
      <alignment horizontal="center" shrinkToFit="1"/>
    </xf>
    <xf numFmtId="1" fontId="3" fillId="0" borderId="1" xfId="1" applyNumberFormat="1" applyFont="1" applyBorder="1" applyAlignment="1">
      <alignment horizontal="center" shrinkToFit="1"/>
    </xf>
    <xf numFmtId="0" fontId="6" fillId="0" borderId="1" xfId="1" applyFont="1" applyBorder="1" applyAlignment="1">
      <alignment horizontal="center" wrapText="1"/>
    </xf>
    <xf numFmtId="0" fontId="6" fillId="0" borderId="0" xfId="2" applyFont="1" applyAlignment="1">
      <alignment horizontal="left"/>
    </xf>
    <xf numFmtId="0" fontId="6" fillId="0" borderId="3" xfId="2" applyFont="1" applyBorder="1" applyAlignment="1">
      <alignment horizontal="left"/>
    </xf>
    <xf numFmtId="2" fontId="3" fillId="0" borderId="3" xfId="1" applyNumberFormat="1" applyFont="1" applyBorder="1" applyAlignment="1">
      <alignment horizontal="center" shrinkToFit="1"/>
    </xf>
    <xf numFmtId="0" fontId="6" fillId="0" borderId="3" xfId="1" applyFont="1" applyBorder="1" applyAlignment="1">
      <alignment horizontal="left" wrapText="1"/>
    </xf>
    <xf numFmtId="1" fontId="3" fillId="0" borderId="3" xfId="1" applyNumberFormat="1" applyFont="1" applyBorder="1" applyAlignment="1">
      <alignment horizontal="center" shrinkToFit="1"/>
    </xf>
    <xf numFmtId="0" fontId="6" fillId="0" borderId="3" xfId="1" applyFont="1" applyBorder="1" applyAlignment="1">
      <alignment horizontal="center" wrapText="1"/>
    </xf>
    <xf numFmtId="0" fontId="5" fillId="2" borderId="2" xfId="1" applyFont="1" applyFill="1" applyBorder="1" applyAlignment="1">
      <alignment horizontal="left" vertical="top" wrapText="1"/>
    </xf>
    <xf numFmtId="0" fontId="3" fillId="2" borderId="2" xfId="1" applyFont="1" applyFill="1" applyBorder="1" applyAlignment="1">
      <alignment horizontal="center" wrapText="1"/>
    </xf>
    <xf numFmtId="2" fontId="7" fillId="2" borderId="0" xfId="1" applyNumberFormat="1" applyFont="1" applyFill="1" applyAlignment="1">
      <alignment horizontal="center" vertical="top" shrinkToFit="1"/>
    </xf>
    <xf numFmtId="2" fontId="3" fillId="2" borderId="0" xfId="1" applyNumberFormat="1" applyFont="1" applyFill="1" applyAlignment="1">
      <alignment horizontal="center" vertical="top" shrinkToFit="1"/>
    </xf>
    <xf numFmtId="1" fontId="3" fillId="2" borderId="0" xfId="1" applyNumberFormat="1" applyFont="1" applyFill="1" applyAlignment="1">
      <alignment horizontal="center" vertical="top" shrinkToFit="1"/>
    </xf>
    <xf numFmtId="0" fontId="6" fillId="2" borderId="0" xfId="1" applyFont="1" applyFill="1" applyAlignment="1">
      <alignment horizontal="center" vertical="top" wrapText="1"/>
    </xf>
    <xf numFmtId="0" fontId="5" fillId="3" borderId="2" xfId="1" applyFont="1" applyFill="1" applyBorder="1" applyAlignment="1">
      <alignment horizontal="left" vertical="top" wrapText="1"/>
    </xf>
    <xf numFmtId="0" fontId="3" fillId="3" borderId="2" xfId="1" applyFont="1" applyFill="1" applyBorder="1" applyAlignment="1">
      <alignment horizontal="center" wrapText="1"/>
    </xf>
    <xf numFmtId="1" fontId="7" fillId="3" borderId="2" xfId="1" applyNumberFormat="1" applyFont="1" applyFill="1" applyBorder="1" applyAlignment="1">
      <alignment horizontal="center" vertical="top" shrinkToFit="1"/>
    </xf>
    <xf numFmtId="0" fontId="5" fillId="3" borderId="2" xfId="1" applyFont="1" applyFill="1" applyBorder="1" applyAlignment="1">
      <alignment horizontal="center" vertical="top" wrapText="1"/>
    </xf>
    <xf numFmtId="2" fontId="7" fillId="3" borderId="2" xfId="1" applyNumberFormat="1" applyFont="1" applyFill="1" applyBorder="1" applyAlignment="1">
      <alignment horizontal="center" vertical="top" shrinkToFit="1"/>
    </xf>
    <xf numFmtId="0" fontId="5" fillId="3" borderId="0" xfId="2" applyFont="1" applyFill="1" applyAlignment="1">
      <alignment horizontal="center"/>
    </xf>
    <xf numFmtId="0" fontId="7" fillId="3" borderId="0" xfId="2" applyFont="1" applyFill="1" applyAlignment="1">
      <alignment horizontal="center" vertical="top"/>
    </xf>
    <xf numFmtId="1" fontId="5" fillId="3" borderId="0" xfId="2" applyNumberFormat="1" applyFont="1" applyFill="1" applyAlignment="1">
      <alignment horizontal="center"/>
    </xf>
    <xf numFmtId="2" fontId="5" fillId="3" borderId="0" xfId="2" applyNumberFormat="1" applyFont="1" applyFill="1" applyAlignment="1">
      <alignment horizontal="center"/>
    </xf>
    <xf numFmtId="2" fontId="3" fillId="0" borderId="1" xfId="1" applyNumberFormat="1" applyFont="1" applyBorder="1" applyAlignment="1">
      <alignment horizontal="center" shrinkToFit="1"/>
    </xf>
    <xf numFmtId="0" fontId="4" fillId="4" borderId="0" xfId="0" applyFont="1" applyFill="1"/>
    <xf numFmtId="0" fontId="4" fillId="4" borderId="0" xfId="0" applyFont="1" applyFill="1" applyAlignment="1">
      <alignment horizontal="center"/>
    </xf>
    <xf numFmtId="0" fontId="3" fillId="4" borderId="0" xfId="1" applyFont="1" applyFill="1" applyAlignment="1">
      <alignment horizontal="center" wrapText="1"/>
    </xf>
    <xf numFmtId="0" fontId="5" fillId="3" borderId="2" xfId="1" applyFont="1" applyFill="1" applyBorder="1" applyAlignment="1">
      <alignment horizontal="left" wrapText="1"/>
    </xf>
    <xf numFmtId="1" fontId="7" fillId="3" borderId="2" xfId="1" applyNumberFormat="1" applyFont="1" applyFill="1" applyBorder="1" applyAlignment="1">
      <alignment horizontal="center" shrinkToFit="1"/>
    </xf>
    <xf numFmtId="0" fontId="5" fillId="3" borderId="2" xfId="1" applyFont="1" applyFill="1" applyBorder="1" applyAlignment="1">
      <alignment horizontal="center" wrapText="1"/>
    </xf>
    <xf numFmtId="2" fontId="7" fillId="3" borderId="2" xfId="1" applyNumberFormat="1" applyFont="1" applyFill="1" applyBorder="1" applyAlignment="1">
      <alignment horizontal="center" shrinkToFit="1"/>
    </xf>
    <xf numFmtId="0" fontId="5" fillId="0" borderId="0" xfId="1" applyFont="1" applyAlignment="1">
      <alignment horizontal="left" wrapText="1"/>
    </xf>
    <xf numFmtId="1" fontId="7" fillId="0" borderId="0" xfId="1" applyNumberFormat="1" applyFont="1" applyAlignment="1">
      <alignment horizontal="center" shrinkToFit="1"/>
    </xf>
    <xf numFmtId="0" fontId="5" fillId="0" borderId="0" xfId="1" applyFont="1" applyAlignment="1">
      <alignment horizontal="center" wrapText="1"/>
    </xf>
    <xf numFmtId="2" fontId="7" fillId="0" borderId="0" xfId="1" applyNumberFormat="1" applyFont="1" applyAlignment="1">
      <alignment horizontal="center" shrinkToFit="1"/>
    </xf>
    <xf numFmtId="0" fontId="5" fillId="2" borderId="2" xfId="1" applyFont="1" applyFill="1" applyBorder="1" applyAlignment="1">
      <alignment horizontal="left" wrapText="1"/>
    </xf>
    <xf numFmtId="1" fontId="7" fillId="2" borderId="2" xfId="1" applyNumberFormat="1" applyFont="1" applyFill="1" applyBorder="1" applyAlignment="1">
      <alignment horizontal="center" shrinkToFit="1"/>
    </xf>
    <xf numFmtId="0" fontId="5" fillId="2" borderId="2" xfId="1" applyFont="1" applyFill="1" applyBorder="1" applyAlignment="1">
      <alignment horizontal="center" wrapText="1"/>
    </xf>
    <xf numFmtId="2" fontId="7" fillId="2" borderId="2" xfId="1" applyNumberFormat="1" applyFont="1" applyFill="1" applyBorder="1" applyAlignment="1">
      <alignment horizontal="center" shrinkToFit="1"/>
    </xf>
    <xf numFmtId="165" fontId="3" fillId="0" borderId="1" xfId="1" applyNumberFormat="1" applyFont="1" applyBorder="1" applyAlignment="1">
      <alignment horizontal="center" shrinkToFit="1"/>
    </xf>
    <xf numFmtId="0" fontId="5" fillId="4" borderId="0" xfId="1" applyFont="1" applyFill="1" applyAlignment="1">
      <alignment horizontal="left" wrapText="1"/>
    </xf>
    <xf numFmtId="1" fontId="7" fillId="4" borderId="0" xfId="1" applyNumberFormat="1" applyFont="1" applyFill="1" applyAlignment="1">
      <alignment horizontal="center" shrinkToFit="1"/>
    </xf>
    <xf numFmtId="0" fontId="5" fillId="4" borderId="0" xfId="1" applyFont="1" applyFill="1" applyAlignment="1">
      <alignment horizontal="center" wrapText="1"/>
    </xf>
    <xf numFmtId="2" fontId="7" fillId="4" borderId="0" xfId="1" applyNumberFormat="1" applyFont="1" applyFill="1" applyAlignment="1">
      <alignment horizontal="center" shrinkToFit="1"/>
    </xf>
    <xf numFmtId="0" fontId="1" fillId="0" borderId="0" xfId="1"/>
    <xf numFmtId="0" fontId="5" fillId="0" borderId="3" xfId="1" applyFont="1" applyBorder="1"/>
    <xf numFmtId="166" fontId="3" fillId="0" borderId="2" xfId="1" applyNumberFormat="1" applyFont="1" applyBorder="1" applyAlignment="1">
      <alignment horizontal="center" shrinkToFit="1"/>
    </xf>
    <xf numFmtId="0" fontId="6" fillId="0" borderId="0" xfId="1" applyFont="1"/>
    <xf numFmtId="0" fontId="6" fillId="0" borderId="3" xfId="1" applyFont="1" applyBorder="1"/>
    <xf numFmtId="0" fontId="3" fillId="0" borderId="0" xfId="1" applyFont="1" applyAlignment="1">
      <alignment vertical="top"/>
    </xf>
    <xf numFmtId="0" fontId="5" fillId="4" borderId="0" xfId="1" applyFont="1" applyFill="1" applyAlignment="1">
      <alignment horizontal="center" vertical="center" wrapText="1"/>
    </xf>
    <xf numFmtId="0" fontId="6" fillId="4" borderId="0" xfId="1" applyFont="1" applyFill="1" applyAlignment="1">
      <alignment horizontal="center" vertical="center" wrapText="1"/>
    </xf>
    <xf numFmtId="0" fontId="5" fillId="4" borderId="0" xfId="1" applyFont="1" applyFill="1" applyAlignment="1">
      <alignment vertical="center" wrapText="1"/>
    </xf>
    <xf numFmtId="2" fontId="7" fillId="2" borderId="0" xfId="1" applyNumberFormat="1" applyFont="1" applyFill="1" applyAlignment="1">
      <alignment horizontal="center" shrinkToFit="1"/>
    </xf>
    <xf numFmtId="0" fontId="2" fillId="4" borderId="0" xfId="1" applyFont="1" applyFill="1" applyAlignment="1">
      <alignment vertical="top" wrapText="1"/>
    </xf>
    <xf numFmtId="0" fontId="5" fillId="0" borderId="1" xfId="0" applyFont="1" applyBorder="1" applyAlignment="1">
      <alignment horizontal="left" wrapText="1"/>
    </xf>
    <xf numFmtId="0" fontId="6" fillId="0" borderId="2" xfId="0" applyFont="1" applyBorder="1" applyAlignment="1">
      <alignment horizontal="left" wrapText="1"/>
    </xf>
    <xf numFmtId="0" fontId="6" fillId="0" borderId="0" xfId="0" applyFont="1" applyAlignment="1">
      <alignment horizontal="left" wrapText="1"/>
    </xf>
    <xf numFmtId="0" fontId="6" fillId="0" borderId="1" xfId="0" applyFont="1" applyBorder="1" applyAlignment="1">
      <alignment horizontal="left" wrapText="1"/>
    </xf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shrinkToFit="1"/>
    </xf>
    <xf numFmtId="1" fontId="3" fillId="0" borderId="2" xfId="0" applyNumberFormat="1" applyFont="1" applyBorder="1" applyAlignment="1">
      <alignment horizontal="center" vertical="center" shrinkToFit="1"/>
    </xf>
    <xf numFmtId="0" fontId="6" fillId="0" borderId="2" xfId="0" applyFont="1" applyBorder="1" applyAlignment="1">
      <alignment horizontal="center" vertical="center" wrapText="1"/>
    </xf>
    <xf numFmtId="2" fontId="3" fillId="0" borderId="2" xfId="0" applyNumberFormat="1" applyFont="1" applyBorder="1" applyAlignment="1">
      <alignment horizontal="center" vertical="center" shrinkToFit="1"/>
    </xf>
    <xf numFmtId="165" fontId="3" fillId="0" borderId="0" xfId="0" applyNumberFormat="1" applyFont="1" applyAlignment="1">
      <alignment horizontal="center" vertical="center" shrinkToFit="1"/>
    </xf>
    <xf numFmtId="1" fontId="3" fillId="0" borderId="0" xfId="0" applyNumberFormat="1" applyFont="1" applyAlignment="1">
      <alignment horizontal="center" vertical="center" shrinkToFit="1"/>
    </xf>
    <xf numFmtId="0" fontId="6" fillId="0" borderId="0" xfId="0" applyFont="1" applyAlignment="1">
      <alignment horizontal="center" vertical="center" wrapText="1"/>
    </xf>
    <xf numFmtId="2" fontId="3" fillId="0" borderId="0" xfId="0" applyNumberFormat="1" applyFont="1" applyAlignment="1">
      <alignment horizontal="center" vertical="center" shrinkToFit="1"/>
    </xf>
    <xf numFmtId="164" fontId="3" fillId="0" borderId="0" xfId="0" applyNumberFormat="1" applyFont="1" applyAlignment="1">
      <alignment horizontal="center" vertical="center" shrinkToFit="1"/>
    </xf>
    <xf numFmtId="166" fontId="3" fillId="0" borderId="0" xfId="0" applyNumberFormat="1" applyFont="1" applyAlignment="1">
      <alignment horizontal="center" vertical="center" shrinkToFit="1"/>
    </xf>
    <xf numFmtId="2" fontId="3" fillId="0" borderId="1" xfId="0" applyNumberFormat="1" applyFont="1" applyBorder="1" applyAlignment="1">
      <alignment horizontal="center" vertical="center" shrinkToFit="1"/>
    </xf>
    <xf numFmtId="1" fontId="3" fillId="0" borderId="1" xfId="0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 wrapText="1"/>
    </xf>
    <xf numFmtId="0" fontId="5" fillId="3" borderId="2" xfId="0" applyFont="1" applyFill="1" applyBorder="1" applyAlignment="1">
      <alignment horizontal="left" wrapText="1"/>
    </xf>
    <xf numFmtId="0" fontId="4" fillId="3" borderId="2" xfId="0" applyFont="1" applyFill="1" applyBorder="1" applyAlignment="1">
      <alignment horizontal="left" wrapText="1"/>
    </xf>
    <xf numFmtId="1" fontId="7" fillId="3" borderId="2" xfId="0" applyNumberFormat="1" applyFont="1" applyFill="1" applyBorder="1" applyAlignment="1">
      <alignment horizontal="right" shrinkToFit="1"/>
    </xf>
    <xf numFmtId="0" fontId="4" fillId="0" borderId="0" xfId="0" applyFont="1" applyAlignment="1">
      <alignment horizontal="left" vertical="top"/>
    </xf>
    <xf numFmtId="165" fontId="3" fillId="0" borderId="2" xfId="0" applyNumberFormat="1" applyFont="1" applyBorder="1" applyAlignment="1">
      <alignment horizontal="center" vertical="center" shrinkToFit="1"/>
    </xf>
    <xf numFmtId="0" fontId="4" fillId="0" borderId="0" xfId="0" applyFont="1" applyAlignment="1">
      <alignment horizontal="center" vertical="center" wrapText="1"/>
    </xf>
    <xf numFmtId="164" fontId="3" fillId="0" borderId="1" xfId="1" applyNumberFormat="1" applyFont="1" applyBorder="1" applyAlignment="1">
      <alignment horizontal="center" vertical="center" shrinkToFit="1"/>
    </xf>
    <xf numFmtId="2" fontId="3" fillId="2" borderId="0" xfId="1" applyNumberFormat="1" applyFont="1" applyFill="1" applyAlignment="1">
      <alignment horizontal="center" shrinkToFit="1"/>
    </xf>
    <xf numFmtId="1" fontId="3" fillId="2" borderId="0" xfId="1" applyNumberFormat="1" applyFont="1" applyFill="1" applyAlignment="1">
      <alignment horizontal="center" shrinkToFit="1"/>
    </xf>
    <xf numFmtId="0" fontId="6" fillId="2" borderId="0" xfId="1" applyFont="1" applyFill="1" applyAlignment="1">
      <alignment horizontal="center" wrapText="1"/>
    </xf>
    <xf numFmtId="0" fontId="5" fillId="3" borderId="0" xfId="2" applyFont="1" applyFill="1" applyAlignment="1">
      <alignment horizontal="left"/>
    </xf>
    <xf numFmtId="0" fontId="7" fillId="3" borderId="0" xfId="2" applyFont="1" applyFill="1" applyAlignment="1">
      <alignment horizontal="left" vertical="top"/>
    </xf>
    <xf numFmtId="1" fontId="5" fillId="3" borderId="0" xfId="2" applyNumberFormat="1" applyFont="1" applyFill="1" applyAlignment="1">
      <alignment horizontal="left"/>
    </xf>
    <xf numFmtId="2" fontId="5" fillId="3" borderId="0" xfId="2" applyNumberFormat="1" applyFont="1" applyFill="1" applyAlignment="1">
      <alignment horizontal="left"/>
    </xf>
    <xf numFmtId="0" fontId="4" fillId="0" borderId="0" xfId="0" applyFont="1" applyAlignment="1">
      <alignment horizontal="left"/>
    </xf>
    <xf numFmtId="0" fontId="9" fillId="2" borderId="0" xfId="1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top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0" fontId="6" fillId="4" borderId="0" xfId="1" applyFont="1" applyFill="1" applyAlignment="1">
      <alignment horizontal="center" vertical="center" wrapText="1"/>
    </xf>
    <xf numFmtId="0" fontId="5" fillId="2" borderId="0" xfId="2" applyFont="1" applyFill="1" applyAlignment="1">
      <alignment horizontal="center" vertical="center"/>
    </xf>
    <xf numFmtId="0" fontId="7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</cellXfs>
  <cellStyles count="3">
    <cellStyle name="Normal" xfId="0" builtinId="0"/>
    <cellStyle name="Normal 2" xfId="1" xr:uid="{4723517A-4282-45A4-9870-AF0D64086B8E}"/>
    <cellStyle name="Normal 3" xfId="2" xr:uid="{092EF514-7586-4855-99DB-2104A068235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63F29-0D41-4A9E-8557-C2F546040AC1}">
  <dimension ref="A1:S263"/>
  <sheetViews>
    <sheetView tabSelected="1" topLeftCell="A52" zoomScale="88" workbookViewId="0">
      <selection activeCell="C121" sqref="C121"/>
    </sheetView>
  </sheetViews>
  <sheetFormatPr defaultRowHeight="13.2" x14ac:dyDescent="0.25"/>
  <cols>
    <col min="1" max="1" width="27.44140625" style="3" customWidth="1"/>
    <col min="2" max="2" width="12.5546875" style="18" bestFit="1" customWidth="1"/>
    <col min="3" max="3" width="10.109375" style="18" customWidth="1"/>
    <col min="4" max="5" width="8.88671875" style="18"/>
    <col min="6" max="7" width="8.88671875" style="3"/>
    <col min="8" max="8" width="29.88671875" style="3" customWidth="1"/>
    <col min="9" max="12" width="11" style="3" customWidth="1"/>
    <col min="13" max="14" width="8.88671875" style="3"/>
    <col min="15" max="15" width="26.44140625" style="3" customWidth="1"/>
    <col min="16" max="16384" width="8.88671875" style="3"/>
  </cols>
  <sheetData>
    <row r="1" spans="1:19" ht="19.8" customHeight="1" x14ac:dyDescent="0.25">
      <c r="A1" s="167" t="s">
        <v>61</v>
      </c>
      <c r="B1" s="167"/>
      <c r="C1" s="167"/>
      <c r="D1" s="167"/>
      <c r="E1" s="167"/>
      <c r="F1" s="1"/>
      <c r="H1" s="166" t="s">
        <v>46</v>
      </c>
      <c r="I1" s="166"/>
      <c r="J1" s="166"/>
      <c r="K1" s="166"/>
      <c r="L1" s="166"/>
      <c r="O1" s="160" t="s">
        <v>97</v>
      </c>
      <c r="P1" s="160"/>
      <c r="Q1" s="160"/>
      <c r="R1" s="160"/>
      <c r="S1" s="160"/>
    </row>
    <row r="2" spans="1:19" ht="19.8" customHeight="1" x14ac:dyDescent="0.25">
      <c r="A2" s="159" t="s">
        <v>67</v>
      </c>
      <c r="B2" s="159"/>
      <c r="C2" s="159"/>
      <c r="D2" s="159"/>
      <c r="E2" s="159"/>
      <c r="F2" s="1"/>
      <c r="H2" s="159" t="s">
        <v>72</v>
      </c>
      <c r="I2" s="159"/>
      <c r="J2" s="159"/>
      <c r="K2" s="159"/>
      <c r="L2" s="159"/>
      <c r="O2" s="159" t="s">
        <v>98</v>
      </c>
      <c r="P2" s="159"/>
      <c r="Q2" s="159"/>
      <c r="R2" s="159"/>
      <c r="S2" s="159"/>
    </row>
    <row r="3" spans="1:19" ht="22.8" customHeight="1" x14ac:dyDescent="0.25">
      <c r="A3" s="54" t="s">
        <v>0</v>
      </c>
      <c r="B3" s="54" t="s">
        <v>1</v>
      </c>
      <c r="C3" s="54" t="s">
        <v>2</v>
      </c>
      <c r="D3" s="54" t="s">
        <v>3</v>
      </c>
      <c r="E3" s="54" t="s">
        <v>4</v>
      </c>
      <c r="F3" s="2"/>
      <c r="H3" s="8" t="s">
        <v>0</v>
      </c>
      <c r="I3" s="19" t="s">
        <v>1</v>
      </c>
      <c r="J3" s="19" t="s">
        <v>2</v>
      </c>
      <c r="K3" s="19" t="s">
        <v>3</v>
      </c>
      <c r="L3" s="19" t="s">
        <v>4</v>
      </c>
      <c r="O3" s="125" t="s">
        <v>0</v>
      </c>
      <c r="P3" s="130" t="s">
        <v>1</v>
      </c>
      <c r="Q3" s="130" t="s">
        <v>2</v>
      </c>
      <c r="R3" s="130" t="s">
        <v>3</v>
      </c>
      <c r="S3" s="130" t="s">
        <v>4</v>
      </c>
    </row>
    <row r="4" spans="1:19" ht="22.8" customHeight="1" x14ac:dyDescent="0.25">
      <c r="A4" s="57" t="s">
        <v>5</v>
      </c>
      <c r="B4" s="58">
        <v>0.24534</v>
      </c>
      <c r="C4" s="59">
        <v>100</v>
      </c>
      <c r="D4" s="60" t="s">
        <v>6</v>
      </c>
      <c r="E4" s="62">
        <f>B4*C4</f>
        <v>24.533999999999999</v>
      </c>
      <c r="F4" s="1"/>
      <c r="H4" s="6" t="s">
        <v>37</v>
      </c>
      <c r="I4" s="20">
        <v>0.09</v>
      </c>
      <c r="J4" s="21">
        <v>100</v>
      </c>
      <c r="K4" s="5" t="s">
        <v>6</v>
      </c>
      <c r="L4" s="62">
        <f t="shared" ref="L4:L14" si="0">I4*J4</f>
        <v>9</v>
      </c>
      <c r="O4" s="126" t="s">
        <v>27</v>
      </c>
      <c r="P4" s="131">
        <v>2.188E-2</v>
      </c>
      <c r="Q4" s="132">
        <v>30</v>
      </c>
      <c r="R4" s="133" t="s">
        <v>6</v>
      </c>
      <c r="S4" s="62">
        <f t="shared" ref="S4:S15" si="1">P4*Q4</f>
        <v>0.65639999999999998</v>
      </c>
    </row>
    <row r="5" spans="1:19" ht="22.8" customHeight="1" x14ac:dyDescent="0.25">
      <c r="A5" s="61" t="s">
        <v>7</v>
      </c>
      <c r="B5" s="62">
        <v>0.1</v>
      </c>
      <c r="C5" s="63">
        <v>50</v>
      </c>
      <c r="D5" s="64" t="s">
        <v>6</v>
      </c>
      <c r="E5" s="62">
        <f t="shared" ref="E5:E14" si="2">B5*C5</f>
        <v>5</v>
      </c>
      <c r="F5" s="1"/>
      <c r="H5" s="6" t="s">
        <v>38</v>
      </c>
      <c r="I5" s="22">
        <v>0.28499999999999998</v>
      </c>
      <c r="J5" s="21">
        <v>15</v>
      </c>
      <c r="K5" s="5" t="s">
        <v>6</v>
      </c>
      <c r="L5" s="62">
        <f t="shared" si="0"/>
        <v>4.2749999999999995</v>
      </c>
      <c r="O5" s="127" t="s">
        <v>56</v>
      </c>
      <c r="P5" s="135">
        <v>2.7E-2</v>
      </c>
      <c r="Q5" s="136">
        <v>100</v>
      </c>
      <c r="R5" s="137" t="s">
        <v>6</v>
      </c>
      <c r="S5" s="62">
        <f t="shared" si="1"/>
        <v>2.7</v>
      </c>
    </row>
    <row r="6" spans="1:19" ht="19.2" customHeight="1" x14ac:dyDescent="0.25">
      <c r="A6" s="61" t="s">
        <v>8</v>
      </c>
      <c r="B6" s="65">
        <v>4.7E-2</v>
      </c>
      <c r="C6" s="63">
        <v>15</v>
      </c>
      <c r="D6" s="64" t="s">
        <v>9</v>
      </c>
      <c r="E6" s="62">
        <f t="shared" si="2"/>
        <v>0.70499999999999996</v>
      </c>
      <c r="F6" s="1"/>
      <c r="H6" s="6" t="s">
        <v>39</v>
      </c>
      <c r="I6" s="5">
        <v>4.1669999999999999E-2</v>
      </c>
      <c r="J6" s="21">
        <v>20</v>
      </c>
      <c r="K6" s="5" t="s">
        <v>6</v>
      </c>
      <c r="L6" s="62">
        <f t="shared" si="0"/>
        <v>0.83339999999999992</v>
      </c>
      <c r="O6" s="127" t="s">
        <v>24</v>
      </c>
      <c r="P6" s="138">
        <v>0.03</v>
      </c>
      <c r="Q6" s="136">
        <v>30</v>
      </c>
      <c r="R6" s="137" t="s">
        <v>6</v>
      </c>
      <c r="S6" s="62">
        <f t="shared" si="1"/>
        <v>0.89999999999999991</v>
      </c>
    </row>
    <row r="7" spans="1:19" ht="19.2" customHeight="1" x14ac:dyDescent="0.25">
      <c r="A7" s="61" t="s">
        <v>10</v>
      </c>
      <c r="B7" s="65">
        <v>0.27600000000000002</v>
      </c>
      <c r="C7" s="63">
        <v>2</v>
      </c>
      <c r="D7" s="64" t="s">
        <v>6</v>
      </c>
      <c r="E7" s="62">
        <f t="shared" si="2"/>
        <v>0.55200000000000005</v>
      </c>
      <c r="F7" s="1"/>
      <c r="H7" s="72" t="s">
        <v>40</v>
      </c>
      <c r="I7" s="20">
        <v>0.1</v>
      </c>
      <c r="J7" s="21">
        <v>30</v>
      </c>
      <c r="K7" s="5" t="s">
        <v>6</v>
      </c>
      <c r="L7" s="62">
        <f t="shared" si="0"/>
        <v>3</v>
      </c>
      <c r="O7" s="127" t="s">
        <v>28</v>
      </c>
      <c r="P7" s="140">
        <v>6.25E-2</v>
      </c>
      <c r="Q7" s="136">
        <v>20</v>
      </c>
      <c r="R7" s="137" t="s">
        <v>6</v>
      </c>
      <c r="S7" s="62">
        <f t="shared" si="1"/>
        <v>1.25</v>
      </c>
    </row>
    <row r="8" spans="1:19" ht="19.2" customHeight="1" x14ac:dyDescent="0.25">
      <c r="A8" s="61" t="s">
        <v>11</v>
      </c>
      <c r="B8" s="62">
        <v>7.0000000000000007E-2</v>
      </c>
      <c r="C8" s="63">
        <v>5</v>
      </c>
      <c r="D8" s="64" t="s">
        <v>6</v>
      </c>
      <c r="E8" s="62">
        <f t="shared" si="2"/>
        <v>0.35000000000000003</v>
      </c>
      <c r="F8" s="1"/>
      <c r="H8" s="72" t="s">
        <v>41</v>
      </c>
      <c r="I8" s="22">
        <v>4.9000000000000002E-2</v>
      </c>
      <c r="J8" s="21">
        <v>50</v>
      </c>
      <c r="K8" s="5" t="s">
        <v>6</v>
      </c>
      <c r="L8" s="62">
        <f t="shared" si="0"/>
        <v>2.4500000000000002</v>
      </c>
      <c r="O8" s="127" t="s">
        <v>89</v>
      </c>
      <c r="P8" s="138">
        <v>0.03</v>
      </c>
      <c r="Q8" s="136">
        <v>10</v>
      </c>
      <c r="R8" s="137" t="s">
        <v>6</v>
      </c>
      <c r="S8" s="62">
        <f t="shared" si="1"/>
        <v>0.3</v>
      </c>
    </row>
    <row r="9" spans="1:19" ht="19.2" customHeight="1" x14ac:dyDescent="0.25">
      <c r="A9" s="61" t="s">
        <v>12</v>
      </c>
      <c r="B9" s="66">
        <v>0.3125</v>
      </c>
      <c r="C9" s="63">
        <v>3</v>
      </c>
      <c r="D9" s="64" t="s">
        <v>6</v>
      </c>
      <c r="E9" s="62">
        <f t="shared" si="2"/>
        <v>0.9375</v>
      </c>
      <c r="F9" s="1"/>
      <c r="H9" s="72" t="s">
        <v>13</v>
      </c>
      <c r="I9" s="22">
        <v>1.4999999999999999E-2</v>
      </c>
      <c r="J9" s="21">
        <v>2</v>
      </c>
      <c r="K9" s="5" t="s">
        <v>6</v>
      </c>
      <c r="L9" s="62">
        <f t="shared" si="0"/>
        <v>0.03</v>
      </c>
      <c r="O9" s="127" t="s">
        <v>14</v>
      </c>
      <c r="P9" s="138">
        <v>7.0000000000000007E-2</v>
      </c>
      <c r="Q9" s="136">
        <v>10</v>
      </c>
      <c r="R9" s="137" t="s">
        <v>6</v>
      </c>
      <c r="S9" s="62">
        <f t="shared" si="1"/>
        <v>0.70000000000000007</v>
      </c>
    </row>
    <row r="10" spans="1:19" ht="19.2" customHeight="1" x14ac:dyDescent="0.25">
      <c r="A10" s="61" t="s">
        <v>13</v>
      </c>
      <c r="B10" s="65">
        <v>1.4999999999999999E-2</v>
      </c>
      <c r="C10" s="63">
        <v>3</v>
      </c>
      <c r="D10" s="64" t="s">
        <v>6</v>
      </c>
      <c r="E10" s="62">
        <f t="shared" si="2"/>
        <v>4.4999999999999998E-2</v>
      </c>
      <c r="F10" s="1"/>
      <c r="H10" s="72" t="s">
        <v>19</v>
      </c>
      <c r="I10" s="22">
        <v>2.7E-2</v>
      </c>
      <c r="J10" s="21">
        <v>5</v>
      </c>
      <c r="K10" s="5" t="s">
        <v>6</v>
      </c>
      <c r="L10" s="62">
        <f t="shared" si="0"/>
        <v>0.13500000000000001</v>
      </c>
      <c r="O10" s="127" t="s">
        <v>15</v>
      </c>
      <c r="P10" s="135">
        <v>3.7999999999999999E-2</v>
      </c>
      <c r="Q10" s="136">
        <v>30</v>
      </c>
      <c r="R10" s="137" t="s">
        <v>6</v>
      </c>
      <c r="S10" s="62">
        <f t="shared" si="1"/>
        <v>1.1399999999999999</v>
      </c>
    </row>
    <row r="11" spans="1:19" ht="19.2" customHeight="1" x14ac:dyDescent="0.25">
      <c r="A11" s="61" t="s">
        <v>14</v>
      </c>
      <c r="B11" s="62">
        <v>7.0000000000000007E-2</v>
      </c>
      <c r="C11" s="63">
        <v>10</v>
      </c>
      <c r="D11" s="64" t="s">
        <v>6</v>
      </c>
      <c r="E11" s="62">
        <f t="shared" si="2"/>
        <v>0.70000000000000007</v>
      </c>
      <c r="F11" s="1"/>
      <c r="H11" s="72" t="s">
        <v>11</v>
      </c>
      <c r="I11" s="20">
        <v>7.0000000000000007E-2</v>
      </c>
      <c r="J11" s="21">
        <v>5</v>
      </c>
      <c r="K11" s="5" t="s">
        <v>6</v>
      </c>
      <c r="L11" s="62">
        <f t="shared" si="0"/>
        <v>0.35000000000000003</v>
      </c>
      <c r="O11" s="127" t="s">
        <v>8</v>
      </c>
      <c r="P11" s="135">
        <v>4.7E-2</v>
      </c>
      <c r="Q11" s="136">
        <v>15</v>
      </c>
      <c r="R11" s="137" t="s">
        <v>9</v>
      </c>
      <c r="S11" s="62">
        <f t="shared" si="1"/>
        <v>0.70499999999999996</v>
      </c>
    </row>
    <row r="12" spans="1:19" ht="19.2" customHeight="1" x14ac:dyDescent="0.25">
      <c r="A12" s="61" t="s">
        <v>15</v>
      </c>
      <c r="B12" s="65">
        <v>3.7999999999999999E-2</v>
      </c>
      <c r="C12" s="63">
        <v>30</v>
      </c>
      <c r="D12" s="64" t="s">
        <v>6</v>
      </c>
      <c r="E12" s="62">
        <f t="shared" si="2"/>
        <v>1.1399999999999999</v>
      </c>
      <c r="F12" s="1"/>
      <c r="H12" s="72" t="s">
        <v>42</v>
      </c>
      <c r="I12" s="20">
        <v>0.03</v>
      </c>
      <c r="J12" s="21">
        <v>15</v>
      </c>
      <c r="K12" s="5" t="s">
        <v>9</v>
      </c>
      <c r="L12" s="62">
        <f t="shared" si="0"/>
        <v>0.44999999999999996</v>
      </c>
      <c r="O12" s="127" t="s">
        <v>13</v>
      </c>
      <c r="P12" s="135">
        <v>1.4999999999999999E-2</v>
      </c>
      <c r="Q12" s="136">
        <v>5</v>
      </c>
      <c r="R12" s="137" t="s">
        <v>6</v>
      </c>
      <c r="S12" s="62">
        <f t="shared" si="1"/>
        <v>7.4999999999999997E-2</v>
      </c>
    </row>
    <row r="13" spans="1:19" ht="19.2" customHeight="1" x14ac:dyDescent="0.25">
      <c r="A13" s="61" t="s">
        <v>16</v>
      </c>
      <c r="B13" s="65">
        <v>5.5E-2</v>
      </c>
      <c r="C13" s="63">
        <v>7</v>
      </c>
      <c r="D13" s="64" t="s">
        <v>9</v>
      </c>
      <c r="E13" s="62">
        <f t="shared" si="2"/>
        <v>0.38500000000000001</v>
      </c>
      <c r="F13" s="1"/>
      <c r="H13" s="72" t="s">
        <v>20</v>
      </c>
      <c r="I13" s="5">
        <v>4.1669999999999999E-2</v>
      </c>
      <c r="J13" s="21">
        <v>5</v>
      </c>
      <c r="K13" s="5" t="s">
        <v>6</v>
      </c>
      <c r="L13" s="62">
        <f t="shared" si="0"/>
        <v>0.20834999999999998</v>
      </c>
      <c r="O13" s="127" t="s">
        <v>11</v>
      </c>
      <c r="P13" s="138">
        <v>7.0000000000000007E-2</v>
      </c>
      <c r="Q13" s="136">
        <v>7</v>
      </c>
      <c r="R13" s="137" t="s">
        <v>6</v>
      </c>
      <c r="S13" s="62">
        <f t="shared" si="1"/>
        <v>0.49000000000000005</v>
      </c>
    </row>
    <row r="14" spans="1:19" ht="19.2" customHeight="1" x14ac:dyDescent="0.25">
      <c r="A14" s="61" t="s">
        <v>19</v>
      </c>
      <c r="B14" s="65">
        <v>2.7E-2</v>
      </c>
      <c r="C14" s="63">
        <v>3</v>
      </c>
      <c r="D14" s="64" t="s">
        <v>6</v>
      </c>
      <c r="E14" s="62">
        <f t="shared" si="2"/>
        <v>8.1000000000000003E-2</v>
      </c>
      <c r="F14" s="1"/>
      <c r="H14" s="72" t="s">
        <v>43</v>
      </c>
      <c r="I14" s="22">
        <v>0.13500000000000001</v>
      </c>
      <c r="J14" s="21">
        <v>70</v>
      </c>
      <c r="K14" s="5" t="s">
        <v>6</v>
      </c>
      <c r="L14" s="62">
        <f t="shared" si="0"/>
        <v>9.4500000000000011</v>
      </c>
      <c r="O14" s="127" t="s">
        <v>19</v>
      </c>
      <c r="P14" s="135">
        <v>2.7E-2</v>
      </c>
      <c r="Q14" s="136">
        <v>3</v>
      </c>
      <c r="R14" s="137" t="s">
        <v>6</v>
      </c>
      <c r="S14" s="62">
        <f t="shared" si="1"/>
        <v>8.1000000000000003E-2</v>
      </c>
    </row>
    <row r="15" spans="1:19" ht="19.2" customHeight="1" x14ac:dyDescent="0.25">
      <c r="A15" s="61" t="s">
        <v>20</v>
      </c>
      <c r="B15" s="67">
        <v>4.1669999999999999E-2</v>
      </c>
      <c r="C15" s="63">
        <v>5</v>
      </c>
      <c r="D15" s="64" t="s">
        <v>6</v>
      </c>
      <c r="E15" s="62">
        <f>B15*C15</f>
        <v>0.20834999999999998</v>
      </c>
      <c r="F15" s="1"/>
      <c r="H15" s="72" t="s">
        <v>16</v>
      </c>
      <c r="I15" s="22">
        <v>5.5E-2</v>
      </c>
      <c r="J15" s="21">
        <v>7</v>
      </c>
      <c r="K15" s="5" t="s">
        <v>9</v>
      </c>
      <c r="L15" s="62">
        <f>I15*J15</f>
        <v>0.38500000000000001</v>
      </c>
      <c r="O15" s="127" t="s">
        <v>16</v>
      </c>
      <c r="P15" s="135">
        <v>5.5E-2</v>
      </c>
      <c r="Q15" s="136">
        <v>7</v>
      </c>
      <c r="R15" s="137" t="s">
        <v>9</v>
      </c>
      <c r="S15" s="62">
        <f t="shared" si="1"/>
        <v>0.38500000000000001</v>
      </c>
    </row>
    <row r="16" spans="1:19" ht="19.2" customHeight="1" x14ac:dyDescent="0.25">
      <c r="A16" s="68" t="s">
        <v>64</v>
      </c>
      <c r="B16" s="69">
        <v>2.3E-2</v>
      </c>
      <c r="C16" s="70">
        <v>100</v>
      </c>
      <c r="D16" s="71" t="s">
        <v>6</v>
      </c>
      <c r="E16" s="62">
        <f>B16*C16</f>
        <v>2.2999999999999998</v>
      </c>
      <c r="F16" s="1"/>
      <c r="H16" s="73"/>
      <c r="I16" s="69"/>
      <c r="J16" s="70"/>
      <c r="K16" s="71"/>
      <c r="L16" s="74"/>
      <c r="O16" s="127" t="s">
        <v>36</v>
      </c>
      <c r="P16" s="140">
        <v>7.1199999999999999E-2</v>
      </c>
      <c r="Q16" s="136">
        <v>7</v>
      </c>
      <c r="R16" s="137" t="s">
        <v>9</v>
      </c>
      <c r="S16" s="62">
        <f>P16*Q16</f>
        <v>0.49840000000000001</v>
      </c>
    </row>
    <row r="17" spans="1:19" ht="19.2" customHeight="1" x14ac:dyDescent="0.25">
      <c r="A17" s="84" t="s">
        <v>21</v>
      </c>
      <c r="B17" s="85"/>
      <c r="C17" s="86">
        <v>234</v>
      </c>
      <c r="D17" s="87" t="s">
        <v>22</v>
      </c>
      <c r="E17" s="88">
        <f>SUM(E4:E16)</f>
        <v>36.937850000000005</v>
      </c>
      <c r="F17" s="1"/>
      <c r="H17" s="154" t="s">
        <v>21</v>
      </c>
      <c r="I17" s="155"/>
      <c r="J17" s="156">
        <v>326</v>
      </c>
      <c r="K17" s="154" t="s">
        <v>22</v>
      </c>
      <c r="L17" s="157">
        <f>SUM(L4:L16)</f>
        <v>30.566750000000003</v>
      </c>
      <c r="M17" s="158"/>
      <c r="N17" s="158"/>
      <c r="O17" s="128"/>
      <c r="P17" s="141"/>
      <c r="Q17" s="142"/>
      <c r="R17" s="143"/>
      <c r="S17" s="141"/>
    </row>
    <row r="18" spans="1:19" ht="19.2" customHeight="1" x14ac:dyDescent="0.25">
      <c r="H18" s="158"/>
      <c r="I18" s="158"/>
      <c r="J18" s="158"/>
      <c r="K18" s="158"/>
      <c r="L18" s="158"/>
      <c r="M18" s="158"/>
      <c r="N18" s="158"/>
      <c r="O18" s="154" t="s">
        <v>21</v>
      </c>
      <c r="P18" s="90"/>
      <c r="Q18" s="91">
        <v>326</v>
      </c>
      <c r="R18" s="89" t="s">
        <v>22</v>
      </c>
      <c r="S18" s="92">
        <f>SUM(S4:S17)</f>
        <v>9.8807999999999989</v>
      </c>
    </row>
    <row r="19" spans="1:19" ht="19.2" customHeight="1" x14ac:dyDescent="0.25">
      <c r="H19" s="4" t="s">
        <v>65</v>
      </c>
      <c r="I19" s="47">
        <v>5.52</v>
      </c>
      <c r="J19" s="45">
        <v>1</v>
      </c>
      <c r="K19" s="46" t="s">
        <v>18</v>
      </c>
      <c r="L19" s="47">
        <v>5.52</v>
      </c>
    </row>
    <row r="20" spans="1:19" ht="19.2" customHeight="1" x14ac:dyDescent="0.25">
      <c r="A20" s="72" t="s">
        <v>44</v>
      </c>
      <c r="B20" s="20">
        <v>5.94</v>
      </c>
      <c r="C20" s="21">
        <v>1</v>
      </c>
      <c r="D20" s="5" t="s">
        <v>18</v>
      </c>
      <c r="E20" s="20">
        <v>5.94</v>
      </c>
      <c r="H20" s="9" t="s">
        <v>45</v>
      </c>
      <c r="I20" s="23">
        <v>7.12</v>
      </c>
      <c r="J20" s="24">
        <v>1</v>
      </c>
      <c r="K20" s="25" t="s">
        <v>18</v>
      </c>
      <c r="L20" s="23">
        <v>7.12</v>
      </c>
      <c r="O20" s="128" t="s">
        <v>17</v>
      </c>
      <c r="P20" s="141">
        <v>5.52</v>
      </c>
      <c r="Q20" s="142">
        <v>1</v>
      </c>
      <c r="R20" s="143" t="s">
        <v>18</v>
      </c>
      <c r="S20" s="141">
        <v>5.52</v>
      </c>
    </row>
    <row r="21" spans="1:19" ht="19.2" customHeight="1" x14ac:dyDescent="0.25">
      <c r="A21" s="78" t="s">
        <v>21</v>
      </c>
      <c r="B21" s="81"/>
      <c r="C21" s="82"/>
      <c r="D21" s="83"/>
      <c r="E21" s="80">
        <f>SUM(E17:E20)</f>
        <v>42.877850000000002</v>
      </c>
      <c r="H21" s="78" t="s">
        <v>21</v>
      </c>
      <c r="I21" s="81"/>
      <c r="J21" s="82"/>
      <c r="K21" s="83"/>
      <c r="L21" s="80">
        <f>SUM(L17:L20)</f>
        <v>43.20675</v>
      </c>
      <c r="O21" s="105" t="s">
        <v>21</v>
      </c>
      <c r="P21" s="151"/>
      <c r="Q21" s="152"/>
      <c r="R21" s="153"/>
      <c r="S21" s="123">
        <f>SUM(S18:S20)</f>
        <v>15.400799999999998</v>
      </c>
    </row>
    <row r="22" spans="1:19" ht="19.2" customHeight="1" x14ac:dyDescent="0.25">
      <c r="A22" s="11"/>
      <c r="B22" s="17"/>
      <c r="C22" s="15"/>
      <c r="D22" s="16"/>
      <c r="E22" s="39"/>
      <c r="H22" s="7"/>
      <c r="I22" s="26"/>
      <c r="J22" s="27"/>
      <c r="K22" s="28"/>
      <c r="L22" s="29"/>
    </row>
    <row r="23" spans="1:19" ht="19.2" customHeight="1" x14ac:dyDescent="0.25">
      <c r="H23" s="7"/>
      <c r="I23" s="26"/>
      <c r="J23" s="27"/>
      <c r="K23" s="28"/>
      <c r="L23" s="29"/>
    </row>
    <row r="24" spans="1:19" ht="19.2" customHeight="1" x14ac:dyDescent="0.25">
      <c r="A24" s="164" t="s">
        <v>62</v>
      </c>
      <c r="B24" s="164"/>
      <c r="C24" s="164"/>
      <c r="D24" s="164"/>
      <c r="E24" s="164"/>
      <c r="H24" s="163" t="s">
        <v>59</v>
      </c>
      <c r="I24" s="163"/>
      <c r="J24" s="163"/>
      <c r="K24" s="163"/>
      <c r="L24" s="163"/>
      <c r="O24" s="160" t="s">
        <v>99</v>
      </c>
      <c r="P24" s="160"/>
      <c r="Q24" s="160"/>
      <c r="R24" s="160"/>
      <c r="S24" s="160"/>
    </row>
    <row r="25" spans="1:19" ht="19.2" customHeight="1" x14ac:dyDescent="0.25">
      <c r="A25" s="159" t="s">
        <v>68</v>
      </c>
      <c r="B25" s="159"/>
      <c r="C25" s="159"/>
      <c r="D25" s="159"/>
      <c r="E25" s="159"/>
      <c r="H25" s="159" t="s">
        <v>71</v>
      </c>
      <c r="I25" s="159"/>
      <c r="J25" s="159"/>
      <c r="K25" s="159"/>
      <c r="L25" s="159"/>
      <c r="O25" s="159" t="s">
        <v>100</v>
      </c>
      <c r="P25" s="159"/>
      <c r="Q25" s="159"/>
      <c r="R25" s="159"/>
      <c r="S25" s="159"/>
    </row>
    <row r="26" spans="1:19" ht="19.2" customHeight="1" x14ac:dyDescent="0.25">
      <c r="A26" s="55" t="s">
        <v>0</v>
      </c>
      <c r="B26" s="56" t="s">
        <v>1</v>
      </c>
      <c r="C26" s="56" t="s">
        <v>2</v>
      </c>
      <c r="D26" s="56" t="s">
        <v>3</v>
      </c>
      <c r="E26" s="56" t="s">
        <v>4</v>
      </c>
      <c r="H26" s="52" t="s">
        <v>0</v>
      </c>
      <c r="I26" s="40" t="s">
        <v>1</v>
      </c>
      <c r="J26" s="40" t="s">
        <v>2</v>
      </c>
      <c r="K26" s="40" t="s">
        <v>3</v>
      </c>
      <c r="L26" s="40" t="s">
        <v>4</v>
      </c>
      <c r="O26" s="125" t="s">
        <v>0</v>
      </c>
      <c r="P26" s="130" t="s">
        <v>1</v>
      </c>
      <c r="Q26" s="130" t="s">
        <v>2</v>
      </c>
      <c r="R26" s="130" t="s">
        <v>3</v>
      </c>
      <c r="S26" s="130" t="s">
        <v>4</v>
      </c>
    </row>
    <row r="27" spans="1:19" ht="19.2" customHeight="1" x14ac:dyDescent="0.25">
      <c r="A27" s="57" t="s">
        <v>23</v>
      </c>
      <c r="B27" s="58">
        <v>0.14152000000000001</v>
      </c>
      <c r="C27" s="59">
        <v>100</v>
      </c>
      <c r="D27" s="60" t="s">
        <v>6</v>
      </c>
      <c r="E27" s="62">
        <f t="shared" ref="E27:E43" si="3">B27*C27</f>
        <v>14.152000000000001</v>
      </c>
      <c r="H27" s="57" t="s">
        <v>33</v>
      </c>
      <c r="I27" s="58">
        <v>7.8130000000000005E-2</v>
      </c>
      <c r="J27" s="59">
        <v>100</v>
      </c>
      <c r="K27" s="60" t="s">
        <v>6</v>
      </c>
      <c r="L27" s="62">
        <f>I27*J27</f>
        <v>7.8130000000000006</v>
      </c>
      <c r="O27" s="126" t="s">
        <v>80</v>
      </c>
      <c r="P27" s="148">
        <v>3.5000000000000003E-2</v>
      </c>
      <c r="Q27" s="132">
        <v>150</v>
      </c>
      <c r="R27" s="133" t="s">
        <v>6</v>
      </c>
      <c r="S27" s="62">
        <f t="shared" ref="S27:S32" si="4">P27*Q27</f>
        <v>5.2500000000000009</v>
      </c>
    </row>
    <row r="28" spans="1:19" ht="19.2" customHeight="1" x14ac:dyDescent="0.25">
      <c r="A28" s="61" t="s">
        <v>24</v>
      </c>
      <c r="B28" s="62">
        <v>0.03</v>
      </c>
      <c r="C28" s="63">
        <v>50</v>
      </c>
      <c r="D28" s="64" t="s">
        <v>6</v>
      </c>
      <c r="E28" s="62">
        <f t="shared" si="3"/>
        <v>1.5</v>
      </c>
      <c r="H28" s="61" t="s">
        <v>55</v>
      </c>
      <c r="I28" s="65">
        <v>6.8000000000000005E-2</v>
      </c>
      <c r="J28" s="63">
        <v>50</v>
      </c>
      <c r="K28" s="64" t="s">
        <v>6</v>
      </c>
      <c r="L28" s="62">
        <f t="shared" ref="L28:L41" si="5">I28*J28</f>
        <v>3.4000000000000004</v>
      </c>
      <c r="O28" s="127" t="s">
        <v>14</v>
      </c>
      <c r="P28" s="138">
        <v>7.0000000000000007E-2</v>
      </c>
      <c r="Q28" s="136">
        <v>10</v>
      </c>
      <c r="R28" s="137" t="s">
        <v>6</v>
      </c>
      <c r="S28" s="62">
        <f t="shared" si="4"/>
        <v>0.70000000000000007</v>
      </c>
    </row>
    <row r="29" spans="1:19" ht="19.2" customHeight="1" x14ac:dyDescent="0.25">
      <c r="A29" s="61" t="s">
        <v>25</v>
      </c>
      <c r="B29" s="65">
        <v>4.4999999999999998E-2</v>
      </c>
      <c r="C29" s="63">
        <v>20</v>
      </c>
      <c r="D29" s="64" t="s">
        <v>6</v>
      </c>
      <c r="E29" s="62">
        <f t="shared" si="3"/>
        <v>0.89999999999999991</v>
      </c>
      <c r="H29" s="61" t="s">
        <v>27</v>
      </c>
      <c r="I29" s="67">
        <v>2.188E-2</v>
      </c>
      <c r="J29" s="63">
        <v>20</v>
      </c>
      <c r="K29" s="64" t="s">
        <v>6</v>
      </c>
      <c r="L29" s="62">
        <f t="shared" si="5"/>
        <v>0.43759999999999999</v>
      </c>
      <c r="O29" s="127" t="s">
        <v>13</v>
      </c>
      <c r="P29" s="135">
        <v>1.4999999999999999E-2</v>
      </c>
      <c r="Q29" s="136">
        <v>3</v>
      </c>
      <c r="R29" s="137" t="s">
        <v>6</v>
      </c>
      <c r="S29" s="62">
        <f t="shared" si="4"/>
        <v>4.4999999999999998E-2</v>
      </c>
    </row>
    <row r="30" spans="1:19" ht="19.2" customHeight="1" x14ac:dyDescent="0.25">
      <c r="A30" s="61" t="s">
        <v>26</v>
      </c>
      <c r="B30" s="62">
        <v>0.05</v>
      </c>
      <c r="C30" s="63">
        <v>10</v>
      </c>
      <c r="D30" s="64" t="s">
        <v>6</v>
      </c>
      <c r="E30" s="62">
        <f t="shared" si="3"/>
        <v>0.5</v>
      </c>
      <c r="H30" s="61" t="s">
        <v>26</v>
      </c>
      <c r="I30" s="62">
        <v>0.05</v>
      </c>
      <c r="J30" s="63">
        <v>10</v>
      </c>
      <c r="K30" s="64" t="s">
        <v>6</v>
      </c>
      <c r="L30" s="62">
        <f t="shared" si="5"/>
        <v>0.5</v>
      </c>
      <c r="O30" s="127" t="s">
        <v>10</v>
      </c>
      <c r="P30" s="135">
        <v>0.27600000000000002</v>
      </c>
      <c r="Q30" s="136">
        <v>2</v>
      </c>
      <c r="R30" s="137" t="s">
        <v>6</v>
      </c>
      <c r="S30" s="62">
        <f t="shared" si="4"/>
        <v>0.55200000000000005</v>
      </c>
    </row>
    <row r="31" spans="1:19" ht="19.2" customHeight="1" x14ac:dyDescent="0.25">
      <c r="A31" s="61" t="s">
        <v>27</v>
      </c>
      <c r="B31" s="67">
        <v>2.188E-2</v>
      </c>
      <c r="C31" s="63">
        <v>20</v>
      </c>
      <c r="D31" s="64" t="s">
        <v>6</v>
      </c>
      <c r="E31" s="62">
        <f t="shared" si="3"/>
        <v>0.43759999999999999</v>
      </c>
      <c r="H31" s="61" t="s">
        <v>56</v>
      </c>
      <c r="I31" s="65">
        <v>2.7E-2</v>
      </c>
      <c r="J31" s="63">
        <v>30</v>
      </c>
      <c r="K31" s="64" t="s">
        <v>6</v>
      </c>
      <c r="L31" s="62">
        <f t="shared" si="5"/>
        <v>0.80999999999999994</v>
      </c>
      <c r="O31" s="127" t="s">
        <v>11</v>
      </c>
      <c r="P31" s="138">
        <v>7.0000000000000007E-2</v>
      </c>
      <c r="Q31" s="136">
        <v>3</v>
      </c>
      <c r="R31" s="137" t="s">
        <v>6</v>
      </c>
      <c r="S31" s="62">
        <f t="shared" si="4"/>
        <v>0.21000000000000002</v>
      </c>
    </row>
    <row r="32" spans="1:19" ht="19.2" customHeight="1" x14ac:dyDescent="0.25">
      <c r="A32" s="61" t="s">
        <v>20</v>
      </c>
      <c r="B32" s="67">
        <v>4.1669999999999999E-2</v>
      </c>
      <c r="C32" s="63">
        <v>5</v>
      </c>
      <c r="D32" s="64" t="s">
        <v>6</v>
      </c>
      <c r="E32" s="62">
        <f t="shared" si="3"/>
        <v>0.20834999999999998</v>
      </c>
      <c r="H32" s="61" t="s">
        <v>57</v>
      </c>
      <c r="I32" s="62">
        <v>0.03</v>
      </c>
      <c r="J32" s="63">
        <v>10</v>
      </c>
      <c r="K32" s="64" t="s">
        <v>6</v>
      </c>
      <c r="L32" s="62">
        <f t="shared" si="5"/>
        <v>0.3</v>
      </c>
      <c r="O32" s="127" t="s">
        <v>36</v>
      </c>
      <c r="P32" s="140">
        <v>7.1199999999999999E-2</v>
      </c>
      <c r="Q32" s="136">
        <v>5</v>
      </c>
      <c r="R32" s="137" t="s">
        <v>9</v>
      </c>
      <c r="S32" s="62">
        <f t="shared" si="4"/>
        <v>0.35599999999999998</v>
      </c>
    </row>
    <row r="33" spans="1:19" ht="19.2" customHeight="1" x14ac:dyDescent="0.25">
      <c r="A33" s="61" t="s">
        <v>14</v>
      </c>
      <c r="B33" s="62">
        <v>7.0000000000000007E-2</v>
      </c>
      <c r="C33" s="63">
        <v>10</v>
      </c>
      <c r="D33" s="64" t="s">
        <v>6</v>
      </c>
      <c r="E33" s="62">
        <f t="shared" si="3"/>
        <v>0.70000000000000007</v>
      </c>
      <c r="H33" s="61" t="s">
        <v>14</v>
      </c>
      <c r="I33" s="62">
        <v>7.0000000000000007E-2</v>
      </c>
      <c r="J33" s="63">
        <v>10</v>
      </c>
      <c r="K33" s="64" t="s">
        <v>6</v>
      </c>
      <c r="L33" s="62">
        <f t="shared" si="5"/>
        <v>0.70000000000000007</v>
      </c>
      <c r="O33" s="128"/>
      <c r="P33" s="141"/>
      <c r="Q33" s="142"/>
      <c r="R33" s="143"/>
      <c r="S33" s="74"/>
    </row>
    <row r="34" spans="1:19" ht="19.2" customHeight="1" x14ac:dyDescent="0.25">
      <c r="A34" s="61" t="s">
        <v>15</v>
      </c>
      <c r="B34" s="65">
        <v>3.7999999999999999E-2</v>
      </c>
      <c r="C34" s="63">
        <v>30</v>
      </c>
      <c r="D34" s="64" t="s">
        <v>6</v>
      </c>
      <c r="E34" s="62">
        <f t="shared" si="3"/>
        <v>1.1399999999999999</v>
      </c>
      <c r="H34" s="61" t="s">
        <v>15</v>
      </c>
      <c r="I34" s="65">
        <v>3.7999999999999999E-2</v>
      </c>
      <c r="J34" s="63">
        <v>30</v>
      </c>
      <c r="K34" s="64" t="s">
        <v>6</v>
      </c>
      <c r="L34" s="62">
        <f t="shared" si="5"/>
        <v>1.1399999999999999</v>
      </c>
      <c r="O34" s="154" t="s">
        <v>21</v>
      </c>
      <c r="P34" s="90"/>
      <c r="Q34" s="91">
        <v>326</v>
      </c>
      <c r="R34" s="89" t="s">
        <v>22</v>
      </c>
      <c r="S34" s="92">
        <f>SUM(S27:S33)</f>
        <v>7.1130000000000004</v>
      </c>
    </row>
    <row r="35" spans="1:19" ht="20.399999999999999" customHeight="1" x14ac:dyDescent="0.25">
      <c r="A35" s="61" t="s">
        <v>28</v>
      </c>
      <c r="B35" s="66">
        <v>6.25E-2</v>
      </c>
      <c r="C35" s="63">
        <v>20</v>
      </c>
      <c r="D35" s="64" t="s">
        <v>6</v>
      </c>
      <c r="E35" s="62">
        <f t="shared" si="3"/>
        <v>1.25</v>
      </c>
      <c r="H35" s="61" t="s">
        <v>58</v>
      </c>
      <c r="I35" s="62">
        <v>0.03</v>
      </c>
      <c r="J35" s="63">
        <v>20</v>
      </c>
      <c r="K35" s="64" t="s">
        <v>6</v>
      </c>
      <c r="L35" s="62">
        <f t="shared" si="5"/>
        <v>0.6</v>
      </c>
    </row>
    <row r="36" spans="1:19" ht="20.399999999999999" customHeight="1" x14ac:dyDescent="0.25">
      <c r="A36" s="61" t="s">
        <v>29</v>
      </c>
      <c r="B36" s="65">
        <v>7.4999999999999997E-2</v>
      </c>
      <c r="C36" s="63">
        <v>20</v>
      </c>
      <c r="D36" s="64" t="s">
        <v>6</v>
      </c>
      <c r="E36" s="62">
        <f t="shared" si="3"/>
        <v>1.5</v>
      </c>
      <c r="H36" s="61" t="s">
        <v>8</v>
      </c>
      <c r="I36" s="65">
        <v>4.7E-2</v>
      </c>
      <c r="J36" s="63">
        <v>15</v>
      </c>
      <c r="K36" s="64" t="s">
        <v>9</v>
      </c>
      <c r="L36" s="62">
        <f t="shared" si="5"/>
        <v>0.70499999999999996</v>
      </c>
      <c r="O36" s="128" t="s">
        <v>17</v>
      </c>
      <c r="P36" s="141">
        <v>5.52</v>
      </c>
      <c r="Q36" s="142">
        <v>1</v>
      </c>
      <c r="R36" s="143" t="s">
        <v>18</v>
      </c>
      <c r="S36" s="141">
        <v>5.52</v>
      </c>
    </row>
    <row r="37" spans="1:19" ht="20.399999999999999" customHeight="1" x14ac:dyDescent="0.25">
      <c r="A37" s="61" t="s">
        <v>8</v>
      </c>
      <c r="B37" s="65">
        <v>4.7E-2</v>
      </c>
      <c r="C37" s="63">
        <v>15</v>
      </c>
      <c r="D37" s="64" t="s">
        <v>9</v>
      </c>
      <c r="E37" s="62">
        <f t="shared" si="3"/>
        <v>0.70499999999999996</v>
      </c>
      <c r="H37" s="61" t="s">
        <v>16</v>
      </c>
      <c r="I37" s="65">
        <v>5.5E-2</v>
      </c>
      <c r="J37" s="63">
        <v>15</v>
      </c>
      <c r="K37" s="64" t="s">
        <v>9</v>
      </c>
      <c r="L37" s="62">
        <f t="shared" si="5"/>
        <v>0.82499999999999996</v>
      </c>
      <c r="O37" s="105" t="s">
        <v>21</v>
      </c>
      <c r="P37" s="151"/>
      <c r="Q37" s="152"/>
      <c r="R37" s="153"/>
      <c r="S37" s="123">
        <f>SUM(S34:S36)</f>
        <v>12.632999999999999</v>
      </c>
    </row>
    <row r="38" spans="1:19" ht="20.399999999999999" customHeight="1" x14ac:dyDescent="0.25">
      <c r="A38" s="61" t="s">
        <v>16</v>
      </c>
      <c r="B38" s="65">
        <v>5.5E-2</v>
      </c>
      <c r="C38" s="63">
        <v>15</v>
      </c>
      <c r="D38" s="64" t="s">
        <v>9</v>
      </c>
      <c r="E38" s="62">
        <f t="shared" si="3"/>
        <v>0.82499999999999996</v>
      </c>
      <c r="H38" s="61" t="s">
        <v>30</v>
      </c>
      <c r="I38" s="67">
        <v>8.8569999999999996E-2</v>
      </c>
      <c r="J38" s="63">
        <v>7</v>
      </c>
      <c r="K38" s="64" t="s">
        <v>9</v>
      </c>
      <c r="L38" s="62">
        <f t="shared" si="5"/>
        <v>0.61998999999999993</v>
      </c>
    </row>
    <row r="39" spans="1:19" ht="20.399999999999999" customHeight="1" x14ac:dyDescent="0.25">
      <c r="A39" s="61" t="s">
        <v>30</v>
      </c>
      <c r="B39" s="67">
        <v>8.8569999999999996E-2</v>
      </c>
      <c r="C39" s="63">
        <v>7</v>
      </c>
      <c r="D39" s="64" t="s">
        <v>9</v>
      </c>
      <c r="E39" s="62">
        <f t="shared" si="3"/>
        <v>0.61998999999999993</v>
      </c>
      <c r="H39" s="61" t="s">
        <v>11</v>
      </c>
      <c r="I39" s="62">
        <v>7.0000000000000007E-2</v>
      </c>
      <c r="J39" s="63">
        <v>5</v>
      </c>
      <c r="K39" s="64" t="s">
        <v>6</v>
      </c>
      <c r="L39" s="62">
        <f t="shared" si="5"/>
        <v>0.35000000000000003</v>
      </c>
      <c r="O39" s="162" t="s">
        <v>102</v>
      </c>
      <c r="P39" s="162"/>
      <c r="Q39" s="162"/>
      <c r="R39" s="162"/>
      <c r="S39" s="162"/>
    </row>
    <row r="40" spans="1:19" ht="20.399999999999999" customHeight="1" x14ac:dyDescent="0.25">
      <c r="A40" s="61" t="s">
        <v>11</v>
      </c>
      <c r="B40" s="62">
        <v>7.0000000000000007E-2</v>
      </c>
      <c r="C40" s="63">
        <v>5</v>
      </c>
      <c r="D40" s="64" t="s">
        <v>6</v>
      </c>
      <c r="E40" s="62">
        <f t="shared" si="3"/>
        <v>0.35000000000000003</v>
      </c>
      <c r="H40" s="61" t="s">
        <v>13</v>
      </c>
      <c r="I40" s="65">
        <v>1.4999999999999999E-2</v>
      </c>
      <c r="J40" s="63">
        <v>3</v>
      </c>
      <c r="K40" s="64" t="s">
        <v>6</v>
      </c>
      <c r="L40" s="62">
        <f t="shared" si="5"/>
        <v>4.4999999999999998E-2</v>
      </c>
      <c r="O40" s="159" t="s">
        <v>100</v>
      </c>
      <c r="P40" s="159"/>
      <c r="Q40" s="159"/>
      <c r="R40" s="159"/>
      <c r="S40" s="159"/>
    </row>
    <row r="41" spans="1:19" ht="20.399999999999999" customHeight="1" x14ac:dyDescent="0.25">
      <c r="A41" s="61" t="s">
        <v>19</v>
      </c>
      <c r="B41" s="65">
        <v>2.7E-2</v>
      </c>
      <c r="C41" s="63">
        <v>3</v>
      </c>
      <c r="D41" s="64" t="s">
        <v>6</v>
      </c>
      <c r="E41" s="62">
        <f t="shared" si="3"/>
        <v>8.1000000000000003E-2</v>
      </c>
      <c r="H41" s="61" t="s">
        <v>19</v>
      </c>
      <c r="I41" s="65">
        <v>2.7E-2</v>
      </c>
      <c r="J41" s="63">
        <v>5</v>
      </c>
      <c r="K41" s="64" t="s">
        <v>6</v>
      </c>
      <c r="L41" s="62">
        <f t="shared" si="5"/>
        <v>0.13500000000000001</v>
      </c>
      <c r="O41" s="125" t="s">
        <v>0</v>
      </c>
      <c r="P41" s="130" t="s">
        <v>1</v>
      </c>
      <c r="Q41" s="130" t="s">
        <v>2</v>
      </c>
      <c r="R41" s="130" t="s">
        <v>3</v>
      </c>
      <c r="S41" s="130" t="s">
        <v>4</v>
      </c>
    </row>
    <row r="42" spans="1:19" ht="20.399999999999999" customHeight="1" x14ac:dyDescent="0.25">
      <c r="A42" s="61" t="s">
        <v>31</v>
      </c>
      <c r="B42" s="65">
        <v>0.34399999999999997</v>
      </c>
      <c r="C42" s="63">
        <v>1</v>
      </c>
      <c r="D42" s="64" t="s">
        <v>6</v>
      </c>
      <c r="E42" s="62">
        <f t="shared" si="3"/>
        <v>0.34399999999999997</v>
      </c>
      <c r="H42" s="61" t="s">
        <v>31</v>
      </c>
      <c r="I42" s="65">
        <v>0.34399999999999997</v>
      </c>
      <c r="J42" s="63">
        <v>2</v>
      </c>
      <c r="K42" s="64" t="s">
        <v>6</v>
      </c>
      <c r="L42" s="62">
        <f>I42*J42</f>
        <v>0.68799999999999994</v>
      </c>
      <c r="O42" s="126" t="s">
        <v>101</v>
      </c>
      <c r="P42" s="134">
        <v>0.03</v>
      </c>
      <c r="Q42" s="132">
        <v>100</v>
      </c>
      <c r="R42" s="133" t="s">
        <v>6</v>
      </c>
      <c r="S42" s="62">
        <f t="shared" ref="S42:S48" si="6">P42*Q42</f>
        <v>3</v>
      </c>
    </row>
    <row r="43" spans="1:19" ht="20.399999999999999" customHeight="1" x14ac:dyDescent="0.25">
      <c r="A43" s="61" t="s">
        <v>32</v>
      </c>
      <c r="B43" s="62">
        <v>0.4</v>
      </c>
      <c r="C43" s="63">
        <v>3</v>
      </c>
      <c r="D43" s="64" t="s">
        <v>6</v>
      </c>
      <c r="E43" s="62">
        <f t="shared" si="3"/>
        <v>1.2000000000000002</v>
      </c>
      <c r="H43" s="68"/>
      <c r="I43" s="69"/>
      <c r="J43" s="70"/>
      <c r="K43" s="71"/>
      <c r="L43" s="62"/>
      <c r="O43" s="127" t="s">
        <v>15</v>
      </c>
      <c r="P43" s="135">
        <v>3.7999999999999999E-2</v>
      </c>
      <c r="Q43" s="136">
        <v>20</v>
      </c>
      <c r="R43" s="137" t="s">
        <v>6</v>
      </c>
      <c r="S43" s="62">
        <f t="shared" si="6"/>
        <v>0.76</v>
      </c>
    </row>
    <row r="44" spans="1:19" ht="20.399999999999999" customHeight="1" x14ac:dyDescent="0.25">
      <c r="A44" s="68" t="s">
        <v>64</v>
      </c>
      <c r="B44" s="69">
        <v>2.3E-2</v>
      </c>
      <c r="C44" s="70">
        <v>100</v>
      </c>
      <c r="D44" s="71" t="s">
        <v>6</v>
      </c>
      <c r="E44" s="62">
        <f>B44*C44</f>
        <v>2.2999999999999998</v>
      </c>
      <c r="H44" s="97" t="s">
        <v>21</v>
      </c>
      <c r="I44" s="85"/>
      <c r="J44" s="98">
        <v>335</v>
      </c>
      <c r="K44" s="99" t="s">
        <v>22</v>
      </c>
      <c r="L44" s="100">
        <f>SUM(L27:L43)</f>
        <v>19.068590000000004</v>
      </c>
      <c r="O44" s="127" t="s">
        <v>14</v>
      </c>
      <c r="P44" s="138">
        <v>7.0000000000000007E-2</v>
      </c>
      <c r="Q44" s="136">
        <v>10</v>
      </c>
      <c r="R44" s="137" t="s">
        <v>6</v>
      </c>
      <c r="S44" s="62">
        <f t="shared" si="6"/>
        <v>0.70000000000000007</v>
      </c>
    </row>
    <row r="45" spans="1:19" ht="20.399999999999999" customHeight="1" x14ac:dyDescent="0.25">
      <c r="A45" s="97" t="s">
        <v>21</v>
      </c>
      <c r="B45" s="85"/>
      <c r="C45" s="98">
        <v>335</v>
      </c>
      <c r="D45" s="99" t="s">
        <v>22</v>
      </c>
      <c r="E45" s="100">
        <f>SUM(E27:E44)</f>
        <v>28.71294</v>
      </c>
      <c r="O45" s="127" t="s">
        <v>8</v>
      </c>
      <c r="P45" s="135">
        <v>4.7E-2</v>
      </c>
      <c r="Q45" s="136">
        <v>7</v>
      </c>
      <c r="R45" s="137" t="s">
        <v>9</v>
      </c>
      <c r="S45" s="62">
        <f t="shared" si="6"/>
        <v>0.32900000000000001</v>
      </c>
    </row>
    <row r="46" spans="1:19" ht="20.399999999999999" customHeight="1" x14ac:dyDescent="0.25">
      <c r="A46" s="101"/>
      <c r="B46" s="38"/>
      <c r="C46" s="102"/>
      <c r="D46" s="103"/>
      <c r="E46" s="104"/>
      <c r="O46" s="127" t="s">
        <v>10</v>
      </c>
      <c r="P46" s="135">
        <v>0.27600000000000002</v>
      </c>
      <c r="Q46" s="136">
        <v>1</v>
      </c>
      <c r="R46" s="137" t="s">
        <v>6</v>
      </c>
      <c r="S46" s="62">
        <f t="shared" si="6"/>
        <v>0.27600000000000002</v>
      </c>
    </row>
    <row r="47" spans="1:19" ht="20.399999999999999" customHeight="1" x14ac:dyDescent="0.25">
      <c r="A47" s="72" t="s">
        <v>44</v>
      </c>
      <c r="B47" s="20">
        <v>5.94</v>
      </c>
      <c r="C47" s="21">
        <v>1</v>
      </c>
      <c r="D47" s="5" t="s">
        <v>18</v>
      </c>
      <c r="E47" s="20">
        <v>5.94</v>
      </c>
      <c r="H47" s="68" t="s">
        <v>65</v>
      </c>
      <c r="I47" s="93">
        <v>5.52</v>
      </c>
      <c r="J47" s="70">
        <v>1</v>
      </c>
      <c r="K47" s="71" t="s">
        <v>18</v>
      </c>
      <c r="L47" s="93">
        <v>5.52</v>
      </c>
      <c r="O47" s="127" t="s">
        <v>13</v>
      </c>
      <c r="P47" s="135">
        <v>1.4999999999999999E-2</v>
      </c>
      <c r="Q47" s="136">
        <v>2</v>
      </c>
      <c r="R47" s="137" t="s">
        <v>6</v>
      </c>
      <c r="S47" s="62">
        <f t="shared" si="6"/>
        <v>0.03</v>
      </c>
    </row>
    <row r="48" spans="1:19" ht="20.399999999999999" customHeight="1" x14ac:dyDescent="0.25">
      <c r="A48" s="105" t="s">
        <v>21</v>
      </c>
      <c r="B48" s="79"/>
      <c r="C48" s="106">
        <v>335</v>
      </c>
      <c r="D48" s="107" t="s">
        <v>22</v>
      </c>
      <c r="E48" s="108">
        <f>SUM(E45:E47)</f>
        <v>34.652940000000001</v>
      </c>
      <c r="H48" s="105" t="s">
        <v>21</v>
      </c>
      <c r="I48" s="79"/>
      <c r="J48" s="106">
        <v>335</v>
      </c>
      <c r="K48" s="107" t="s">
        <v>22</v>
      </c>
      <c r="L48" s="108">
        <f>SUM(L44:L47)</f>
        <v>24.588590000000003</v>
      </c>
      <c r="O48" s="127" t="s">
        <v>11</v>
      </c>
      <c r="P48" s="138">
        <v>7.0000000000000007E-2</v>
      </c>
      <c r="Q48" s="136">
        <v>3</v>
      </c>
      <c r="R48" s="137" t="s">
        <v>6</v>
      </c>
      <c r="S48" s="62">
        <f t="shared" si="6"/>
        <v>0.21000000000000002</v>
      </c>
    </row>
    <row r="49" spans="1:19" ht="20.399999999999999" customHeight="1" x14ac:dyDescent="0.25">
      <c r="A49" s="101"/>
      <c r="B49" s="38"/>
      <c r="C49" s="102"/>
      <c r="D49" s="103"/>
      <c r="E49" s="104"/>
      <c r="O49" s="128"/>
      <c r="P49" s="141"/>
      <c r="Q49" s="142"/>
      <c r="R49" s="143"/>
      <c r="S49" s="141"/>
    </row>
    <row r="50" spans="1:19" ht="20.399999999999999" customHeight="1" x14ac:dyDescent="0.25">
      <c r="O50" s="154" t="s">
        <v>21</v>
      </c>
      <c r="P50" s="90"/>
      <c r="Q50" s="91">
        <v>326</v>
      </c>
      <c r="R50" s="89" t="s">
        <v>22</v>
      </c>
      <c r="S50" s="92">
        <f>SUM(S42:S49)</f>
        <v>5.3049999999999997</v>
      </c>
    </row>
    <row r="51" spans="1:19" ht="20.399999999999999" customHeight="1" x14ac:dyDescent="0.25">
      <c r="A51" s="164" t="s">
        <v>63</v>
      </c>
      <c r="B51" s="164"/>
      <c r="C51" s="164"/>
      <c r="D51" s="164"/>
      <c r="E51" s="164"/>
      <c r="H51" s="163" t="s">
        <v>60</v>
      </c>
      <c r="I51" s="163"/>
      <c r="J51" s="163"/>
      <c r="K51" s="163"/>
      <c r="L51" s="163"/>
    </row>
    <row r="52" spans="1:19" ht="20.399999999999999" customHeight="1" x14ac:dyDescent="0.25">
      <c r="A52" s="159" t="s">
        <v>71</v>
      </c>
      <c r="B52" s="159"/>
      <c r="C52" s="159"/>
      <c r="D52" s="159"/>
      <c r="E52" s="159"/>
      <c r="H52" s="159" t="s">
        <v>73</v>
      </c>
      <c r="I52" s="159"/>
      <c r="J52" s="159"/>
      <c r="K52" s="159"/>
      <c r="L52" s="159"/>
      <c r="O52" s="128" t="s">
        <v>17</v>
      </c>
      <c r="P52" s="141">
        <v>5.52</v>
      </c>
      <c r="Q52" s="142">
        <v>1</v>
      </c>
      <c r="R52" s="143" t="s">
        <v>18</v>
      </c>
      <c r="S52" s="141">
        <v>5.52</v>
      </c>
    </row>
    <row r="53" spans="1:19" ht="20.399999999999999" customHeight="1" x14ac:dyDescent="0.25">
      <c r="A53" s="55" t="s">
        <v>0</v>
      </c>
      <c r="B53" s="56" t="s">
        <v>1</v>
      </c>
      <c r="C53" s="56" t="s">
        <v>2</v>
      </c>
      <c r="D53" s="56" t="s">
        <v>3</v>
      </c>
      <c r="E53" s="56" t="s">
        <v>4</v>
      </c>
      <c r="H53" s="55" t="s">
        <v>0</v>
      </c>
      <c r="I53" s="56" t="s">
        <v>1</v>
      </c>
      <c r="J53" s="56" t="s">
        <v>2</v>
      </c>
      <c r="K53" s="56" t="s">
        <v>3</v>
      </c>
      <c r="L53" s="56" t="s">
        <v>4</v>
      </c>
      <c r="O53" s="105" t="s">
        <v>21</v>
      </c>
      <c r="P53" s="151"/>
      <c r="Q53" s="152"/>
      <c r="R53" s="153"/>
      <c r="S53" s="123">
        <f>SUM(S50:S52)</f>
        <v>10.824999999999999</v>
      </c>
    </row>
    <row r="54" spans="1:19" ht="20.399999999999999" customHeight="1" x14ac:dyDescent="0.25">
      <c r="A54" s="57" t="s">
        <v>33</v>
      </c>
      <c r="B54" s="58">
        <v>7.8130000000000005E-2</v>
      </c>
      <c r="C54" s="59">
        <v>100</v>
      </c>
      <c r="D54" s="60" t="s">
        <v>6</v>
      </c>
      <c r="E54" s="62">
        <f t="shared" ref="E54:E66" si="7">B54*C54</f>
        <v>7.8130000000000006</v>
      </c>
      <c r="H54" s="57" t="s">
        <v>47</v>
      </c>
      <c r="I54" s="58">
        <v>6.5280000000000005E-2</v>
      </c>
      <c r="J54" s="59">
        <v>50</v>
      </c>
      <c r="K54" s="60" t="s">
        <v>6</v>
      </c>
      <c r="L54" s="62">
        <f t="shared" ref="L54:L68" si="8">I54*J54</f>
        <v>3.2640000000000002</v>
      </c>
    </row>
    <row r="55" spans="1:19" ht="20.399999999999999" customHeight="1" x14ac:dyDescent="0.25">
      <c r="A55" s="61" t="s">
        <v>26</v>
      </c>
      <c r="B55" s="62">
        <v>0.05</v>
      </c>
      <c r="C55" s="63">
        <v>5</v>
      </c>
      <c r="D55" s="64" t="s">
        <v>6</v>
      </c>
      <c r="E55" s="62">
        <f t="shared" si="7"/>
        <v>0.25</v>
      </c>
      <c r="H55" s="61" t="s">
        <v>33</v>
      </c>
      <c r="I55" s="67">
        <v>7.8130000000000005E-2</v>
      </c>
      <c r="J55" s="63">
        <v>100</v>
      </c>
      <c r="K55" s="64" t="s">
        <v>6</v>
      </c>
      <c r="L55" s="62">
        <f t="shared" si="8"/>
        <v>7.8130000000000006</v>
      </c>
      <c r="O55" s="160" t="s">
        <v>103</v>
      </c>
      <c r="P55" s="160"/>
      <c r="Q55" s="160"/>
      <c r="R55" s="160"/>
      <c r="S55" s="160"/>
    </row>
    <row r="56" spans="1:19" ht="20.399999999999999" customHeight="1" x14ac:dyDescent="0.25">
      <c r="A56" s="61" t="s">
        <v>7</v>
      </c>
      <c r="B56" s="62">
        <v>0.1</v>
      </c>
      <c r="C56" s="63">
        <v>50</v>
      </c>
      <c r="D56" s="64" t="s">
        <v>6</v>
      </c>
      <c r="E56" s="62">
        <f t="shared" si="7"/>
        <v>5</v>
      </c>
      <c r="H56" s="61" t="s">
        <v>27</v>
      </c>
      <c r="I56" s="67">
        <v>2.188E-2</v>
      </c>
      <c r="J56" s="63">
        <v>20</v>
      </c>
      <c r="K56" s="64" t="s">
        <v>6</v>
      </c>
      <c r="L56" s="62">
        <f t="shared" si="8"/>
        <v>0.43759999999999999</v>
      </c>
      <c r="O56" s="159" t="s">
        <v>98</v>
      </c>
      <c r="P56" s="159"/>
      <c r="Q56" s="159"/>
      <c r="R56" s="159"/>
      <c r="S56" s="159"/>
    </row>
    <row r="57" spans="1:19" ht="20.399999999999999" customHeight="1" x14ac:dyDescent="0.25">
      <c r="A57" s="61" t="s">
        <v>14</v>
      </c>
      <c r="B57" s="62">
        <v>7.0000000000000007E-2</v>
      </c>
      <c r="C57" s="63">
        <v>10</v>
      </c>
      <c r="D57" s="64" t="s">
        <v>6</v>
      </c>
      <c r="E57" s="62">
        <f t="shared" si="7"/>
        <v>0.70000000000000007</v>
      </c>
      <c r="H57" s="61" t="s">
        <v>56</v>
      </c>
      <c r="I57" s="65">
        <v>2.7E-2</v>
      </c>
      <c r="J57" s="63">
        <v>30</v>
      </c>
      <c r="K57" s="64" t="s">
        <v>6</v>
      </c>
      <c r="L57" s="62">
        <f t="shared" si="8"/>
        <v>0.80999999999999994</v>
      </c>
      <c r="O57" s="125" t="s">
        <v>0</v>
      </c>
      <c r="P57" s="130" t="s">
        <v>1</v>
      </c>
      <c r="Q57" s="130" t="s">
        <v>2</v>
      </c>
      <c r="R57" s="130" t="s">
        <v>3</v>
      </c>
      <c r="S57" s="130" t="s">
        <v>4</v>
      </c>
    </row>
    <row r="58" spans="1:19" ht="20.399999999999999" customHeight="1" x14ac:dyDescent="0.25">
      <c r="A58" s="61" t="s">
        <v>20</v>
      </c>
      <c r="B58" s="67">
        <v>4.1669999999999999E-2</v>
      </c>
      <c r="C58" s="63">
        <v>10</v>
      </c>
      <c r="D58" s="64" t="s">
        <v>6</v>
      </c>
      <c r="E58" s="62">
        <f t="shared" si="7"/>
        <v>0.41669999999999996</v>
      </c>
      <c r="H58" s="61" t="s">
        <v>58</v>
      </c>
      <c r="I58" s="62">
        <v>0.03</v>
      </c>
      <c r="J58" s="63">
        <v>20</v>
      </c>
      <c r="K58" s="64" t="s">
        <v>6</v>
      </c>
      <c r="L58" s="62">
        <f t="shared" si="8"/>
        <v>0.6</v>
      </c>
      <c r="O58" s="126" t="s">
        <v>104</v>
      </c>
      <c r="P58" s="134">
        <v>0.03</v>
      </c>
      <c r="Q58" s="132">
        <v>150</v>
      </c>
      <c r="R58" s="133" t="s">
        <v>6</v>
      </c>
      <c r="S58" s="62">
        <f t="shared" ref="S58:S64" si="9">P58*Q58</f>
        <v>4.5</v>
      </c>
    </row>
    <row r="59" spans="1:19" ht="20.399999999999999" customHeight="1" x14ac:dyDescent="0.25">
      <c r="A59" s="61" t="s">
        <v>15</v>
      </c>
      <c r="B59" s="65">
        <v>3.7999999999999999E-2</v>
      </c>
      <c r="C59" s="63">
        <v>30</v>
      </c>
      <c r="D59" s="64" t="s">
        <v>6</v>
      </c>
      <c r="E59" s="62">
        <f t="shared" si="7"/>
        <v>1.1399999999999999</v>
      </c>
      <c r="H59" s="61" t="s">
        <v>13</v>
      </c>
      <c r="I59" s="65">
        <v>1.4999999999999999E-2</v>
      </c>
      <c r="J59" s="63">
        <v>3</v>
      </c>
      <c r="K59" s="64" t="s">
        <v>6</v>
      </c>
      <c r="L59" s="62">
        <f t="shared" si="8"/>
        <v>4.4999999999999998E-2</v>
      </c>
      <c r="O59" s="127" t="s">
        <v>89</v>
      </c>
      <c r="P59" s="138">
        <v>0.03</v>
      </c>
      <c r="Q59" s="136">
        <v>30</v>
      </c>
      <c r="R59" s="137" t="s">
        <v>6</v>
      </c>
      <c r="S59" s="62">
        <f t="shared" si="9"/>
        <v>0.89999999999999991</v>
      </c>
    </row>
    <row r="60" spans="1:19" ht="20.399999999999999" customHeight="1" x14ac:dyDescent="0.25">
      <c r="A60" s="61" t="s">
        <v>11</v>
      </c>
      <c r="B60" s="62">
        <v>7.0000000000000007E-2</v>
      </c>
      <c r="C60" s="63">
        <v>5</v>
      </c>
      <c r="D60" s="64" t="s">
        <v>6</v>
      </c>
      <c r="E60" s="62">
        <f t="shared" si="7"/>
        <v>0.35000000000000003</v>
      </c>
      <c r="H60" s="61" t="s">
        <v>11</v>
      </c>
      <c r="I60" s="62">
        <v>7.0000000000000007E-2</v>
      </c>
      <c r="J60" s="63">
        <v>5</v>
      </c>
      <c r="K60" s="64" t="s">
        <v>6</v>
      </c>
      <c r="L60" s="62">
        <f t="shared" si="8"/>
        <v>0.35000000000000003</v>
      </c>
      <c r="O60" s="127" t="s">
        <v>87</v>
      </c>
      <c r="P60" s="138">
        <v>0.16</v>
      </c>
      <c r="Q60" s="136">
        <v>10</v>
      </c>
      <c r="R60" s="137" t="s">
        <v>6</v>
      </c>
      <c r="S60" s="62">
        <f t="shared" si="9"/>
        <v>1.6</v>
      </c>
    </row>
    <row r="61" spans="1:19" ht="20.399999999999999" customHeight="1" x14ac:dyDescent="0.25">
      <c r="A61" s="61" t="s">
        <v>32</v>
      </c>
      <c r="B61" s="62">
        <v>0.4</v>
      </c>
      <c r="C61" s="63">
        <v>3</v>
      </c>
      <c r="D61" s="64" t="s">
        <v>6</v>
      </c>
      <c r="E61" s="62">
        <f t="shared" si="7"/>
        <v>1.2000000000000002</v>
      </c>
      <c r="H61" s="61" t="s">
        <v>19</v>
      </c>
      <c r="I61" s="65">
        <v>2.7E-2</v>
      </c>
      <c r="J61" s="63">
        <v>5</v>
      </c>
      <c r="K61" s="64" t="s">
        <v>6</v>
      </c>
      <c r="L61" s="62">
        <f t="shared" si="8"/>
        <v>0.13500000000000001</v>
      </c>
      <c r="O61" s="127" t="s">
        <v>14</v>
      </c>
      <c r="P61" s="138">
        <v>7.0000000000000007E-2</v>
      </c>
      <c r="Q61" s="136">
        <v>10</v>
      </c>
      <c r="R61" s="137" t="s">
        <v>6</v>
      </c>
      <c r="S61" s="62">
        <f t="shared" si="9"/>
        <v>0.70000000000000007</v>
      </c>
    </row>
    <row r="62" spans="1:19" ht="20.399999999999999" customHeight="1" x14ac:dyDescent="0.25">
      <c r="A62" s="61" t="s">
        <v>19</v>
      </c>
      <c r="B62" s="65">
        <v>2.7E-2</v>
      </c>
      <c r="C62" s="63">
        <v>3</v>
      </c>
      <c r="D62" s="64" t="s">
        <v>6</v>
      </c>
      <c r="E62" s="62">
        <f t="shared" si="7"/>
        <v>8.1000000000000003E-2</v>
      </c>
      <c r="H62" s="61" t="s">
        <v>16</v>
      </c>
      <c r="I62" s="65">
        <v>5.5E-2</v>
      </c>
      <c r="J62" s="63">
        <v>15</v>
      </c>
      <c r="K62" s="64" t="s">
        <v>9</v>
      </c>
      <c r="L62" s="62">
        <f t="shared" si="8"/>
        <v>0.82499999999999996</v>
      </c>
      <c r="O62" s="127" t="s">
        <v>11</v>
      </c>
      <c r="P62" s="138">
        <v>7.0000000000000007E-2</v>
      </c>
      <c r="Q62" s="136">
        <v>5</v>
      </c>
      <c r="R62" s="137" t="s">
        <v>6</v>
      </c>
      <c r="S62" s="62">
        <f t="shared" si="9"/>
        <v>0.35000000000000003</v>
      </c>
    </row>
    <row r="63" spans="1:19" ht="20.399999999999999" customHeight="1" x14ac:dyDescent="0.25">
      <c r="A63" s="61" t="s">
        <v>31</v>
      </c>
      <c r="B63" s="65">
        <v>0.34399999999999997</v>
      </c>
      <c r="C63" s="63">
        <v>2</v>
      </c>
      <c r="D63" s="64" t="s">
        <v>6</v>
      </c>
      <c r="E63" s="62">
        <f t="shared" si="7"/>
        <v>0.68799999999999994</v>
      </c>
      <c r="H63" s="61" t="s">
        <v>30</v>
      </c>
      <c r="I63" s="67">
        <v>8.8569999999999996E-2</v>
      </c>
      <c r="J63" s="63">
        <v>7</v>
      </c>
      <c r="K63" s="64" t="s">
        <v>9</v>
      </c>
      <c r="L63" s="62">
        <f t="shared" si="8"/>
        <v>0.61998999999999993</v>
      </c>
      <c r="O63" s="127" t="s">
        <v>16</v>
      </c>
      <c r="P63" s="135">
        <v>5.5E-2</v>
      </c>
      <c r="Q63" s="136">
        <v>7</v>
      </c>
      <c r="R63" s="137" t="s">
        <v>9</v>
      </c>
      <c r="S63" s="62">
        <f t="shared" si="9"/>
        <v>0.38500000000000001</v>
      </c>
    </row>
    <row r="64" spans="1:19" ht="20.399999999999999" customHeight="1" x14ac:dyDescent="0.25">
      <c r="A64" s="61" t="s">
        <v>8</v>
      </c>
      <c r="B64" s="65">
        <v>4.7E-2</v>
      </c>
      <c r="C64" s="63">
        <v>15</v>
      </c>
      <c r="D64" s="64" t="s">
        <v>9</v>
      </c>
      <c r="E64" s="62">
        <f t="shared" si="7"/>
        <v>0.70499999999999996</v>
      </c>
      <c r="H64" s="61" t="s">
        <v>36</v>
      </c>
      <c r="I64" s="66">
        <v>7.1199999999999999E-2</v>
      </c>
      <c r="J64" s="63">
        <v>7</v>
      </c>
      <c r="K64" s="64" t="s">
        <v>9</v>
      </c>
      <c r="L64" s="62">
        <f t="shared" si="8"/>
        <v>0.49840000000000001</v>
      </c>
      <c r="O64" s="127" t="s">
        <v>36</v>
      </c>
      <c r="P64" s="140">
        <v>7.1199999999999999E-2</v>
      </c>
      <c r="Q64" s="136">
        <v>7</v>
      </c>
      <c r="R64" s="137" t="s">
        <v>9</v>
      </c>
      <c r="S64" s="62">
        <f t="shared" si="9"/>
        <v>0.49840000000000001</v>
      </c>
    </row>
    <row r="65" spans="1:19" ht="20.399999999999999" customHeight="1" x14ac:dyDescent="0.25">
      <c r="A65" s="61" t="s">
        <v>16</v>
      </c>
      <c r="B65" s="65">
        <v>5.5E-2</v>
      </c>
      <c r="C65" s="63">
        <v>15</v>
      </c>
      <c r="D65" s="64" t="s">
        <v>9</v>
      </c>
      <c r="E65" s="62">
        <f t="shared" si="7"/>
        <v>0.82499999999999996</v>
      </c>
      <c r="H65" s="61" t="s">
        <v>8</v>
      </c>
      <c r="I65" s="65">
        <v>4.7E-2</v>
      </c>
      <c r="J65" s="63">
        <v>15</v>
      </c>
      <c r="K65" s="64" t="s">
        <v>9</v>
      </c>
      <c r="L65" s="62">
        <f t="shared" si="8"/>
        <v>0.70499999999999996</v>
      </c>
      <c r="O65" s="127" t="s">
        <v>8</v>
      </c>
      <c r="P65" s="135">
        <v>4.7E-2</v>
      </c>
      <c r="Q65" s="136">
        <v>7</v>
      </c>
      <c r="R65" s="137" t="s">
        <v>9</v>
      </c>
      <c r="S65" s="62">
        <f>P65*Q65</f>
        <v>0.32900000000000001</v>
      </c>
    </row>
    <row r="66" spans="1:19" ht="20.399999999999999" customHeight="1" x14ac:dyDescent="0.25">
      <c r="A66" s="61" t="s">
        <v>30</v>
      </c>
      <c r="B66" s="67">
        <v>8.8569999999999996E-2</v>
      </c>
      <c r="C66" s="63">
        <v>7</v>
      </c>
      <c r="D66" s="64" t="s">
        <v>9</v>
      </c>
      <c r="E66" s="62">
        <f t="shared" si="7"/>
        <v>0.61998999999999993</v>
      </c>
      <c r="H66" s="61" t="s">
        <v>31</v>
      </c>
      <c r="I66" s="65">
        <v>0.34399999999999997</v>
      </c>
      <c r="J66" s="63">
        <v>3</v>
      </c>
      <c r="K66" s="64" t="s">
        <v>6</v>
      </c>
      <c r="L66" s="62">
        <f t="shared" si="8"/>
        <v>1.032</v>
      </c>
      <c r="O66" s="128"/>
      <c r="P66" s="141"/>
      <c r="Q66" s="142"/>
      <c r="R66" s="143"/>
      <c r="S66" s="74"/>
    </row>
    <row r="67" spans="1:19" ht="20.399999999999999" customHeight="1" x14ac:dyDescent="0.25">
      <c r="A67" s="68" t="s">
        <v>64</v>
      </c>
      <c r="B67" s="69">
        <v>2.3E-2</v>
      </c>
      <c r="C67" s="70">
        <v>100</v>
      </c>
      <c r="D67" s="71" t="s">
        <v>6</v>
      </c>
      <c r="E67" s="62">
        <f>B67*C67</f>
        <v>2.2999999999999998</v>
      </c>
      <c r="H67" s="61" t="s">
        <v>14</v>
      </c>
      <c r="I67" s="62">
        <v>7.0000000000000007E-2</v>
      </c>
      <c r="J67" s="63">
        <v>10</v>
      </c>
      <c r="K67" s="64" t="s">
        <v>6</v>
      </c>
      <c r="L67" s="62">
        <f t="shared" si="8"/>
        <v>0.70000000000000007</v>
      </c>
      <c r="O67" s="154" t="s">
        <v>21</v>
      </c>
      <c r="P67" s="90"/>
      <c r="Q67" s="91">
        <v>326</v>
      </c>
      <c r="R67" s="89" t="s">
        <v>22</v>
      </c>
      <c r="S67" s="92">
        <f>SUM(S58:S66)</f>
        <v>9.2624000000000013</v>
      </c>
    </row>
    <row r="68" spans="1:19" ht="20.399999999999999" customHeight="1" x14ac:dyDescent="0.25">
      <c r="A68" s="97" t="s">
        <v>21</v>
      </c>
      <c r="B68" s="85"/>
      <c r="C68" s="98">
        <v>335</v>
      </c>
      <c r="D68" s="99" t="s">
        <v>22</v>
      </c>
      <c r="E68" s="100">
        <f>SUM(E54:E67)</f>
        <v>22.08869</v>
      </c>
      <c r="H68" s="68" t="s">
        <v>15</v>
      </c>
      <c r="I68" s="109">
        <v>3.7999999999999999E-2</v>
      </c>
      <c r="J68" s="70">
        <v>30</v>
      </c>
      <c r="K68" s="71" t="s">
        <v>6</v>
      </c>
      <c r="L68" s="62">
        <f t="shared" si="8"/>
        <v>1.1399999999999999</v>
      </c>
    </row>
    <row r="69" spans="1:19" ht="24" customHeight="1" x14ac:dyDescent="0.25">
      <c r="H69" s="97" t="s">
        <v>21</v>
      </c>
      <c r="I69" s="85"/>
      <c r="J69" s="98">
        <v>335</v>
      </c>
      <c r="K69" s="99" t="s">
        <v>22</v>
      </c>
      <c r="L69" s="100">
        <f>SUM(L54:L68)</f>
        <v>18.974989999999998</v>
      </c>
      <c r="O69" s="128" t="s">
        <v>17</v>
      </c>
      <c r="P69" s="141">
        <v>5.52</v>
      </c>
      <c r="Q69" s="142">
        <v>1</v>
      </c>
      <c r="R69" s="143" t="s">
        <v>18</v>
      </c>
      <c r="S69" s="141">
        <v>5.52</v>
      </c>
    </row>
    <row r="70" spans="1:19" s="94" customFormat="1" ht="24" customHeight="1" x14ac:dyDescent="0.25">
      <c r="B70" s="95"/>
      <c r="C70" s="95"/>
      <c r="D70" s="95"/>
      <c r="E70" s="95"/>
      <c r="H70" s="110"/>
      <c r="I70" s="96"/>
      <c r="J70" s="111"/>
      <c r="K70" s="112"/>
      <c r="L70" s="113"/>
      <c r="O70" s="105" t="s">
        <v>21</v>
      </c>
      <c r="P70" s="151"/>
      <c r="Q70" s="152"/>
      <c r="R70" s="153"/>
      <c r="S70" s="123">
        <f>SUM(S67:S69)</f>
        <v>14.782400000000001</v>
      </c>
    </row>
    <row r="71" spans="1:19" ht="24" customHeight="1" x14ac:dyDescent="0.25">
      <c r="A71" s="72" t="s">
        <v>44</v>
      </c>
      <c r="B71" s="20">
        <v>5.94</v>
      </c>
      <c r="C71" s="21">
        <v>1</v>
      </c>
      <c r="D71" s="5" t="s">
        <v>18</v>
      </c>
      <c r="E71" s="20">
        <v>5.94</v>
      </c>
      <c r="H71" s="68" t="s">
        <v>65</v>
      </c>
      <c r="I71" s="93">
        <v>5.52</v>
      </c>
      <c r="J71" s="70">
        <v>1</v>
      </c>
      <c r="K71" s="71" t="s">
        <v>18</v>
      </c>
      <c r="L71" s="93">
        <v>5.52</v>
      </c>
    </row>
    <row r="72" spans="1:19" ht="24" customHeight="1" x14ac:dyDescent="0.25">
      <c r="A72" s="105" t="s">
        <v>21</v>
      </c>
      <c r="B72" s="79"/>
      <c r="C72" s="106">
        <v>335</v>
      </c>
      <c r="D72" s="107" t="s">
        <v>22</v>
      </c>
      <c r="E72" s="108">
        <f>SUM(E68:E71)</f>
        <v>28.028690000000001</v>
      </c>
      <c r="H72" s="105" t="s">
        <v>21</v>
      </c>
      <c r="I72" s="79"/>
      <c r="J72" s="106">
        <v>335</v>
      </c>
      <c r="K72" s="107" t="s">
        <v>22</v>
      </c>
      <c r="L72" s="108">
        <f>SUM(L69:L71)</f>
        <v>24.494989999999998</v>
      </c>
      <c r="O72" s="161" t="s">
        <v>105</v>
      </c>
      <c r="P72" s="161"/>
      <c r="Q72" s="161"/>
      <c r="R72" s="161"/>
      <c r="S72" s="161"/>
    </row>
    <row r="73" spans="1:19" ht="24" customHeight="1" x14ac:dyDescent="0.25">
      <c r="H73" s="101"/>
      <c r="I73" s="38"/>
      <c r="J73" s="102"/>
      <c r="K73" s="103"/>
      <c r="L73" s="104"/>
      <c r="O73" s="159" t="s">
        <v>98</v>
      </c>
      <c r="P73" s="159"/>
      <c r="Q73" s="159"/>
      <c r="R73" s="159"/>
      <c r="S73" s="159"/>
    </row>
    <row r="74" spans="1:19" ht="22.8" customHeight="1" x14ac:dyDescent="0.25">
      <c r="A74" s="167" t="s">
        <v>69</v>
      </c>
      <c r="B74" s="167"/>
      <c r="C74" s="167"/>
      <c r="D74" s="167"/>
      <c r="E74" s="167"/>
      <c r="F74" s="114"/>
      <c r="G74" s="114"/>
      <c r="O74" s="125" t="s">
        <v>0</v>
      </c>
      <c r="P74" s="130" t="s">
        <v>1</v>
      </c>
      <c r="Q74" s="130" t="s">
        <v>2</v>
      </c>
      <c r="R74" s="130" t="s">
        <v>3</v>
      </c>
      <c r="S74" s="130" t="s">
        <v>4</v>
      </c>
    </row>
    <row r="75" spans="1:19" ht="21" customHeight="1" x14ac:dyDescent="0.25">
      <c r="A75" s="167"/>
      <c r="B75" s="167"/>
      <c r="C75" s="167"/>
      <c r="D75" s="167"/>
      <c r="E75" s="167"/>
      <c r="F75" s="114"/>
      <c r="G75" s="114"/>
      <c r="H75" s="168" t="s">
        <v>49</v>
      </c>
      <c r="I75" s="168"/>
      <c r="J75" s="168"/>
      <c r="K75" s="168"/>
      <c r="L75" s="168"/>
      <c r="O75" s="126" t="s">
        <v>39</v>
      </c>
      <c r="P75" s="131">
        <v>4.1669999999999999E-2</v>
      </c>
      <c r="Q75" s="132">
        <v>200</v>
      </c>
      <c r="R75" s="133" t="s">
        <v>6</v>
      </c>
      <c r="S75" s="62">
        <f t="shared" ref="S75:S81" si="10">P75*Q75</f>
        <v>8.3339999999999996</v>
      </c>
    </row>
    <row r="76" spans="1:19" ht="21" customHeight="1" x14ac:dyDescent="0.25">
      <c r="A76" s="159" t="s">
        <v>68</v>
      </c>
      <c r="B76" s="159"/>
      <c r="C76" s="159"/>
      <c r="D76" s="159"/>
      <c r="E76" s="159"/>
      <c r="F76" s="114"/>
      <c r="G76" s="114"/>
      <c r="H76" s="159" t="s">
        <v>71</v>
      </c>
      <c r="I76" s="159"/>
      <c r="J76" s="159"/>
      <c r="K76" s="159"/>
      <c r="L76" s="159"/>
      <c r="O76" s="127" t="s">
        <v>36</v>
      </c>
      <c r="P76" s="140">
        <v>7.1199999999999999E-2</v>
      </c>
      <c r="Q76" s="136">
        <v>34</v>
      </c>
      <c r="R76" s="137" t="s">
        <v>9</v>
      </c>
      <c r="S76" s="62">
        <f t="shared" si="10"/>
        <v>2.4207999999999998</v>
      </c>
    </row>
    <row r="77" spans="1:19" ht="21.6" customHeight="1" x14ac:dyDescent="0.25">
      <c r="A77" s="55" t="s">
        <v>0</v>
      </c>
      <c r="B77" s="56" t="s">
        <v>1</v>
      </c>
      <c r="C77" s="56" t="s">
        <v>2</v>
      </c>
      <c r="D77" s="56" t="s">
        <v>3</v>
      </c>
      <c r="E77" s="56" t="s">
        <v>4</v>
      </c>
      <c r="H77" s="115" t="s">
        <v>0</v>
      </c>
      <c r="I77" s="30" t="s">
        <v>1</v>
      </c>
      <c r="J77" s="30" t="s">
        <v>2</v>
      </c>
      <c r="K77" s="30" t="s">
        <v>3</v>
      </c>
      <c r="L77" s="30" t="s">
        <v>4</v>
      </c>
      <c r="O77" s="127" t="s">
        <v>14</v>
      </c>
      <c r="P77" s="138">
        <v>7.0000000000000007E-2</v>
      </c>
      <c r="Q77" s="136">
        <v>10</v>
      </c>
      <c r="R77" s="137" t="s">
        <v>6</v>
      </c>
      <c r="S77" s="62">
        <f t="shared" si="10"/>
        <v>0.70000000000000007</v>
      </c>
    </row>
    <row r="78" spans="1:19" ht="21.6" customHeight="1" x14ac:dyDescent="0.25">
      <c r="A78" s="57" t="s">
        <v>34</v>
      </c>
      <c r="B78" s="116">
        <v>0.1305</v>
      </c>
      <c r="C78" s="59">
        <v>100</v>
      </c>
      <c r="D78" s="60" t="s">
        <v>6</v>
      </c>
      <c r="E78" s="62">
        <f t="shared" ref="E78:E88" si="11">B78*C78</f>
        <v>13.05</v>
      </c>
      <c r="H78" s="117" t="s">
        <v>43</v>
      </c>
      <c r="I78" s="31">
        <v>0.13500000000000001</v>
      </c>
      <c r="J78" s="32">
        <v>70</v>
      </c>
      <c r="K78" s="33" t="s">
        <v>6</v>
      </c>
      <c r="L78" s="62">
        <f t="shared" ref="L78:L84" si="12">I78*J78</f>
        <v>9.4500000000000011</v>
      </c>
      <c r="O78" s="127" t="s">
        <v>19</v>
      </c>
      <c r="P78" s="135">
        <v>2.7E-2</v>
      </c>
      <c r="Q78" s="136">
        <v>6</v>
      </c>
      <c r="R78" s="137" t="s">
        <v>6</v>
      </c>
      <c r="S78" s="62">
        <f t="shared" si="10"/>
        <v>0.16200000000000001</v>
      </c>
    </row>
    <row r="79" spans="1:19" ht="21.6" customHeight="1" x14ac:dyDescent="0.25">
      <c r="A79" s="61" t="s">
        <v>26</v>
      </c>
      <c r="B79" s="62">
        <v>0.05</v>
      </c>
      <c r="C79" s="63">
        <v>30</v>
      </c>
      <c r="D79" s="64" t="s">
        <v>6</v>
      </c>
      <c r="E79" s="62">
        <f t="shared" si="11"/>
        <v>1.5</v>
      </c>
      <c r="H79" s="117" t="s">
        <v>47</v>
      </c>
      <c r="I79" s="33">
        <v>6.5280000000000005E-2</v>
      </c>
      <c r="J79" s="32">
        <v>50</v>
      </c>
      <c r="K79" s="33" t="s">
        <v>6</v>
      </c>
      <c r="L79" s="62">
        <f t="shared" si="12"/>
        <v>3.2640000000000002</v>
      </c>
      <c r="O79" s="127" t="s">
        <v>11</v>
      </c>
      <c r="P79" s="138">
        <v>7.0000000000000007E-2</v>
      </c>
      <c r="Q79" s="136">
        <v>3</v>
      </c>
      <c r="R79" s="137" t="s">
        <v>6</v>
      </c>
      <c r="S79" s="62">
        <f t="shared" si="10"/>
        <v>0.21000000000000002</v>
      </c>
    </row>
    <row r="80" spans="1:19" ht="21.6" customHeight="1" x14ac:dyDescent="0.25">
      <c r="A80" s="61" t="s">
        <v>8</v>
      </c>
      <c r="B80" s="65">
        <v>4.7E-2</v>
      </c>
      <c r="C80" s="63">
        <v>15</v>
      </c>
      <c r="D80" s="64" t="s">
        <v>9</v>
      </c>
      <c r="E80" s="62">
        <f t="shared" si="11"/>
        <v>0.70499999999999996</v>
      </c>
      <c r="H80" s="117" t="s">
        <v>41</v>
      </c>
      <c r="I80" s="31">
        <v>4.9000000000000002E-2</v>
      </c>
      <c r="J80" s="32">
        <v>50</v>
      </c>
      <c r="K80" s="33" t="s">
        <v>6</v>
      </c>
      <c r="L80" s="62">
        <f t="shared" si="12"/>
        <v>2.4500000000000002</v>
      </c>
      <c r="O80" s="127" t="s">
        <v>16</v>
      </c>
      <c r="P80" s="135">
        <v>5.5E-2</v>
      </c>
      <c r="Q80" s="136">
        <v>5</v>
      </c>
      <c r="R80" s="137" t="s">
        <v>9</v>
      </c>
      <c r="S80" s="62">
        <f t="shared" si="10"/>
        <v>0.27500000000000002</v>
      </c>
    </row>
    <row r="81" spans="1:19" ht="21.6" customHeight="1" x14ac:dyDescent="0.25">
      <c r="A81" s="61" t="s">
        <v>14</v>
      </c>
      <c r="B81" s="62">
        <v>7.0000000000000007E-2</v>
      </c>
      <c r="C81" s="63">
        <v>10</v>
      </c>
      <c r="D81" s="64" t="s">
        <v>6</v>
      </c>
      <c r="E81" s="62">
        <f t="shared" si="11"/>
        <v>0.70000000000000007</v>
      </c>
      <c r="H81" s="117" t="s">
        <v>39</v>
      </c>
      <c r="I81" s="33">
        <v>4.1669999999999999E-2</v>
      </c>
      <c r="J81" s="32">
        <v>50</v>
      </c>
      <c r="K81" s="33" t="s">
        <v>6</v>
      </c>
      <c r="L81" s="62">
        <f t="shared" si="12"/>
        <v>2.0834999999999999</v>
      </c>
      <c r="O81" s="127" t="s">
        <v>8</v>
      </c>
      <c r="P81" s="135">
        <v>4.7E-2</v>
      </c>
      <c r="Q81" s="136">
        <v>7</v>
      </c>
      <c r="R81" s="137" t="s">
        <v>9</v>
      </c>
      <c r="S81" s="62">
        <f t="shared" si="10"/>
        <v>0.32900000000000001</v>
      </c>
    </row>
    <row r="82" spans="1:19" ht="21.6" customHeight="1" x14ac:dyDescent="0.25">
      <c r="A82" s="61" t="s">
        <v>15</v>
      </c>
      <c r="B82" s="65">
        <v>3.7999999999999999E-2</v>
      </c>
      <c r="C82" s="63">
        <v>30</v>
      </c>
      <c r="D82" s="64" t="s">
        <v>6</v>
      </c>
      <c r="E82" s="62">
        <f t="shared" si="11"/>
        <v>1.1399999999999999</v>
      </c>
      <c r="H82" s="117" t="s">
        <v>13</v>
      </c>
      <c r="I82" s="31">
        <v>1.4999999999999999E-2</v>
      </c>
      <c r="J82" s="32">
        <v>5</v>
      </c>
      <c r="K82" s="33" t="s">
        <v>6</v>
      </c>
      <c r="L82" s="62">
        <f t="shared" si="12"/>
        <v>7.4999999999999997E-2</v>
      </c>
      <c r="O82" s="128"/>
      <c r="P82" s="141"/>
      <c r="Q82" s="142"/>
      <c r="R82" s="143"/>
      <c r="S82" s="141"/>
    </row>
    <row r="83" spans="1:19" ht="21.6" customHeight="1" x14ac:dyDescent="0.25">
      <c r="A83" s="61" t="s">
        <v>20</v>
      </c>
      <c r="B83" s="67">
        <v>4.1669999999999999E-2</v>
      </c>
      <c r="C83" s="63">
        <v>10</v>
      </c>
      <c r="D83" s="64" t="s">
        <v>6</v>
      </c>
      <c r="E83" s="62">
        <f t="shared" si="11"/>
        <v>0.41669999999999996</v>
      </c>
      <c r="H83" s="117" t="s">
        <v>11</v>
      </c>
      <c r="I83" s="34">
        <v>7.0000000000000007E-2</v>
      </c>
      <c r="J83" s="32">
        <v>5</v>
      </c>
      <c r="K83" s="33" t="s">
        <v>6</v>
      </c>
      <c r="L83" s="62">
        <f t="shared" si="12"/>
        <v>0.35000000000000003</v>
      </c>
      <c r="O83" s="154" t="s">
        <v>21</v>
      </c>
      <c r="P83" s="90"/>
      <c r="Q83" s="91">
        <v>326</v>
      </c>
      <c r="R83" s="89" t="s">
        <v>22</v>
      </c>
      <c r="S83" s="92">
        <f>SUM(S75:S82)</f>
        <v>12.430800000000001</v>
      </c>
    </row>
    <row r="84" spans="1:19" ht="21.6" customHeight="1" x14ac:dyDescent="0.25">
      <c r="A84" s="61" t="s">
        <v>11</v>
      </c>
      <c r="B84" s="62">
        <v>7.0000000000000007E-2</v>
      </c>
      <c r="C84" s="63">
        <v>5</v>
      </c>
      <c r="D84" s="64" t="s">
        <v>6</v>
      </c>
      <c r="E84" s="62">
        <f t="shared" si="11"/>
        <v>0.35000000000000003</v>
      </c>
      <c r="H84" s="117" t="s">
        <v>19</v>
      </c>
      <c r="I84" s="31">
        <v>2.7E-2</v>
      </c>
      <c r="J84" s="32">
        <v>5</v>
      </c>
      <c r="K84" s="33" t="s">
        <v>6</v>
      </c>
      <c r="L84" s="62">
        <f t="shared" si="12"/>
        <v>0.13500000000000001</v>
      </c>
    </row>
    <row r="85" spans="1:19" ht="21.6" customHeight="1" x14ac:dyDescent="0.25">
      <c r="A85" s="61" t="s">
        <v>35</v>
      </c>
      <c r="B85" s="67">
        <v>0.22857</v>
      </c>
      <c r="C85" s="63">
        <v>5</v>
      </c>
      <c r="D85" s="64" t="s">
        <v>6</v>
      </c>
      <c r="E85" s="62">
        <f>B85*C85</f>
        <v>1.1428499999999999</v>
      </c>
      <c r="H85" s="117" t="s">
        <v>16</v>
      </c>
      <c r="I85" s="31">
        <v>5.5E-2</v>
      </c>
      <c r="J85" s="32">
        <v>7</v>
      </c>
      <c r="K85" s="33" t="s">
        <v>9</v>
      </c>
      <c r="L85" s="62">
        <f>I85*J85</f>
        <v>0.38500000000000001</v>
      </c>
      <c r="O85" s="128" t="s">
        <v>17</v>
      </c>
      <c r="P85" s="141">
        <v>5.52</v>
      </c>
      <c r="Q85" s="142">
        <v>1</v>
      </c>
      <c r="R85" s="143" t="s">
        <v>18</v>
      </c>
      <c r="S85" s="141">
        <v>5.52</v>
      </c>
    </row>
    <row r="86" spans="1:19" ht="21.6" customHeight="1" x14ac:dyDescent="0.25">
      <c r="A86" s="61" t="s">
        <v>16</v>
      </c>
      <c r="B86" s="65">
        <v>5.5E-2</v>
      </c>
      <c r="C86" s="63">
        <v>7</v>
      </c>
      <c r="D86" s="64" t="s">
        <v>9</v>
      </c>
      <c r="E86" s="62">
        <f t="shared" si="11"/>
        <v>0.38500000000000001</v>
      </c>
      <c r="H86" s="117"/>
      <c r="I86" s="34"/>
      <c r="J86" s="32"/>
      <c r="K86" s="33"/>
      <c r="L86" s="34"/>
      <c r="O86" s="105" t="s">
        <v>21</v>
      </c>
      <c r="P86" s="151"/>
      <c r="Q86" s="152"/>
      <c r="R86" s="153"/>
      <c r="S86" s="123">
        <f>SUM(S83:S85)</f>
        <v>17.950800000000001</v>
      </c>
    </row>
    <row r="87" spans="1:19" ht="21.6" customHeight="1" x14ac:dyDescent="0.25">
      <c r="A87" s="61" t="s">
        <v>36</v>
      </c>
      <c r="B87" s="66">
        <v>7.1199999999999999E-2</v>
      </c>
      <c r="C87" s="63">
        <v>7</v>
      </c>
      <c r="D87" s="64" t="s">
        <v>9</v>
      </c>
      <c r="E87" s="62">
        <f t="shared" si="11"/>
        <v>0.49840000000000001</v>
      </c>
      <c r="H87" s="117"/>
      <c r="I87" s="34"/>
      <c r="J87" s="32"/>
      <c r="K87" s="33"/>
      <c r="L87" s="34"/>
    </row>
    <row r="88" spans="1:19" ht="21.6" customHeight="1" x14ac:dyDescent="0.25">
      <c r="A88" s="61" t="s">
        <v>30</v>
      </c>
      <c r="B88" s="67">
        <v>8.8569999999999996E-2</v>
      </c>
      <c r="C88" s="63">
        <v>4</v>
      </c>
      <c r="D88" s="64" t="s">
        <v>9</v>
      </c>
      <c r="E88" s="62">
        <f t="shared" si="11"/>
        <v>0.35427999999999998</v>
      </c>
      <c r="O88" s="160" t="s">
        <v>108</v>
      </c>
      <c r="P88" s="160"/>
      <c r="Q88" s="160"/>
      <c r="R88" s="160"/>
      <c r="S88" s="160"/>
    </row>
    <row r="89" spans="1:19" ht="21.6" customHeight="1" x14ac:dyDescent="0.25">
      <c r="A89" s="68" t="s">
        <v>64</v>
      </c>
      <c r="B89" s="69">
        <v>2.3E-2</v>
      </c>
      <c r="C89" s="70">
        <v>100</v>
      </c>
      <c r="D89" s="71" t="s">
        <v>6</v>
      </c>
      <c r="E89" s="62">
        <f>B89*C89</f>
        <v>2.2999999999999998</v>
      </c>
      <c r="H89" s="97" t="s">
        <v>21</v>
      </c>
      <c r="I89" s="85"/>
      <c r="J89" s="98">
        <v>335</v>
      </c>
      <c r="K89" s="99" t="s">
        <v>22</v>
      </c>
      <c r="L89" s="100">
        <f>SUM(L78:L87)</f>
        <v>18.192500000000006</v>
      </c>
      <c r="O89" s="159" t="s">
        <v>109</v>
      </c>
      <c r="P89" s="159"/>
      <c r="Q89" s="159"/>
      <c r="R89" s="159"/>
      <c r="S89" s="159"/>
    </row>
    <row r="90" spans="1:19" ht="21.6" customHeight="1" x14ac:dyDescent="0.25">
      <c r="A90" s="97" t="s">
        <v>21</v>
      </c>
      <c r="B90" s="85"/>
      <c r="C90" s="98">
        <v>335</v>
      </c>
      <c r="D90" s="99" t="s">
        <v>22</v>
      </c>
      <c r="E90" s="100">
        <f>SUM(E78:E89)</f>
        <v>22.54223</v>
      </c>
      <c r="O90" s="125" t="s">
        <v>0</v>
      </c>
      <c r="P90" s="130" t="s">
        <v>1</v>
      </c>
      <c r="Q90" s="130" t="s">
        <v>2</v>
      </c>
      <c r="R90" s="130" t="s">
        <v>3</v>
      </c>
      <c r="S90" s="130" t="s">
        <v>4</v>
      </c>
    </row>
    <row r="91" spans="1:19" s="94" customFormat="1" ht="21.6" customHeight="1" x14ac:dyDescent="0.25">
      <c r="A91" s="110"/>
      <c r="B91" s="96"/>
      <c r="C91" s="111"/>
      <c r="D91" s="112"/>
      <c r="E91" s="113"/>
      <c r="H91" s="61" t="s">
        <v>65</v>
      </c>
      <c r="I91" s="62">
        <v>5.52</v>
      </c>
      <c r="J91" s="63">
        <v>1</v>
      </c>
      <c r="K91" s="64" t="s">
        <v>18</v>
      </c>
      <c r="L91" s="62">
        <v>5.52</v>
      </c>
      <c r="O91" s="126" t="s">
        <v>106</v>
      </c>
      <c r="P91" s="134">
        <v>0.13</v>
      </c>
      <c r="Q91" s="132">
        <v>100</v>
      </c>
      <c r="R91" s="133" t="s">
        <v>6</v>
      </c>
      <c r="S91" s="62">
        <f t="shared" ref="S91:S97" si="13">P91*Q91</f>
        <v>13</v>
      </c>
    </row>
    <row r="92" spans="1:19" ht="23.4" customHeight="1" x14ac:dyDescent="0.25">
      <c r="H92" s="117" t="s">
        <v>45</v>
      </c>
      <c r="I92" s="34">
        <v>7.12</v>
      </c>
      <c r="J92" s="32">
        <v>1</v>
      </c>
      <c r="K92" s="33" t="s">
        <v>18</v>
      </c>
      <c r="L92" s="34">
        <v>7.12</v>
      </c>
      <c r="O92" s="127" t="s">
        <v>15</v>
      </c>
      <c r="P92" s="135">
        <v>3.7999999999999999E-2</v>
      </c>
      <c r="Q92" s="136">
        <v>20</v>
      </c>
      <c r="R92" s="137" t="s">
        <v>6</v>
      </c>
      <c r="S92" s="62">
        <f t="shared" si="13"/>
        <v>0.76</v>
      </c>
    </row>
    <row r="93" spans="1:19" ht="19.8" customHeight="1" x14ac:dyDescent="0.25">
      <c r="A93" s="72" t="s">
        <v>44</v>
      </c>
      <c r="B93" s="20">
        <v>5.94</v>
      </c>
      <c r="C93" s="21">
        <v>1</v>
      </c>
      <c r="D93" s="5" t="s">
        <v>18</v>
      </c>
      <c r="E93" s="20">
        <v>5.94</v>
      </c>
      <c r="H93" s="118" t="s">
        <v>48</v>
      </c>
      <c r="I93" s="35">
        <v>2.33</v>
      </c>
      <c r="J93" s="36">
        <v>1</v>
      </c>
      <c r="K93" s="37" t="s">
        <v>18</v>
      </c>
      <c r="L93" s="35">
        <v>2.33</v>
      </c>
      <c r="O93" s="127" t="s">
        <v>27</v>
      </c>
      <c r="P93" s="139">
        <v>2.188E-2</v>
      </c>
      <c r="Q93" s="136">
        <v>20</v>
      </c>
      <c r="R93" s="137" t="s">
        <v>6</v>
      </c>
      <c r="S93" s="62">
        <f t="shared" si="13"/>
        <v>0.43759999999999999</v>
      </c>
    </row>
    <row r="94" spans="1:19" ht="19.8" customHeight="1" x14ac:dyDescent="0.25">
      <c r="A94" s="105" t="s">
        <v>21</v>
      </c>
      <c r="B94" s="79"/>
      <c r="C94" s="106">
        <v>335</v>
      </c>
      <c r="D94" s="107" t="s">
        <v>22</v>
      </c>
      <c r="E94" s="108">
        <f>SUM(E90:E93)</f>
        <v>28.482230000000001</v>
      </c>
      <c r="H94" s="105" t="s">
        <v>21</v>
      </c>
      <c r="I94" s="79"/>
      <c r="J94" s="106">
        <v>335</v>
      </c>
      <c r="K94" s="107" t="s">
        <v>22</v>
      </c>
      <c r="L94" s="108">
        <f>SUM(L89:L93)</f>
        <v>33.162500000000009</v>
      </c>
      <c r="O94" s="127" t="s">
        <v>107</v>
      </c>
      <c r="P94" s="138">
        <v>0.05</v>
      </c>
      <c r="Q94" s="136">
        <v>10</v>
      </c>
      <c r="R94" s="137" t="s">
        <v>6</v>
      </c>
      <c r="S94" s="62">
        <f t="shared" si="13"/>
        <v>0.5</v>
      </c>
    </row>
    <row r="95" spans="1:19" ht="19.8" customHeight="1" x14ac:dyDescent="0.25">
      <c r="O95" s="127" t="s">
        <v>87</v>
      </c>
      <c r="P95" s="138">
        <v>0.16</v>
      </c>
      <c r="Q95" s="136">
        <v>10</v>
      </c>
      <c r="R95" s="137" t="s">
        <v>6</v>
      </c>
      <c r="S95" s="62">
        <f t="shared" si="13"/>
        <v>1.6</v>
      </c>
    </row>
    <row r="96" spans="1:19" ht="19.2" customHeight="1" x14ac:dyDescent="0.25">
      <c r="A96" s="164" t="s">
        <v>78</v>
      </c>
      <c r="B96" s="164"/>
      <c r="C96" s="164"/>
      <c r="D96" s="164"/>
      <c r="E96" s="164"/>
      <c r="F96" s="119"/>
      <c r="G96" s="119"/>
      <c r="H96" s="163" t="s">
        <v>50</v>
      </c>
      <c r="I96" s="163"/>
      <c r="J96" s="163"/>
      <c r="K96" s="163"/>
      <c r="L96" s="163"/>
      <c r="O96" s="127" t="s">
        <v>13</v>
      </c>
      <c r="P96" s="135">
        <v>1.4999999999999999E-2</v>
      </c>
      <c r="Q96" s="136">
        <v>3</v>
      </c>
      <c r="R96" s="137" t="s">
        <v>6</v>
      </c>
      <c r="S96" s="62">
        <f t="shared" si="13"/>
        <v>4.4999999999999998E-2</v>
      </c>
    </row>
    <row r="97" spans="1:19" ht="19.2" customHeight="1" x14ac:dyDescent="0.25">
      <c r="A97" s="159" t="s">
        <v>71</v>
      </c>
      <c r="B97" s="159"/>
      <c r="C97" s="159"/>
      <c r="D97" s="159"/>
      <c r="E97" s="159"/>
      <c r="H97" s="159" t="s">
        <v>71</v>
      </c>
      <c r="I97" s="159"/>
      <c r="J97" s="159"/>
      <c r="K97" s="159"/>
      <c r="L97" s="159"/>
      <c r="O97" s="127" t="s">
        <v>11</v>
      </c>
      <c r="P97" s="138">
        <v>7.0000000000000007E-2</v>
      </c>
      <c r="Q97" s="136">
        <v>5</v>
      </c>
      <c r="R97" s="137" t="s">
        <v>6</v>
      </c>
      <c r="S97" s="62">
        <f t="shared" si="13"/>
        <v>0.35000000000000003</v>
      </c>
    </row>
    <row r="98" spans="1:19" ht="19.8" customHeight="1" x14ac:dyDescent="0.25">
      <c r="A98" s="55" t="s">
        <v>0</v>
      </c>
      <c r="B98" s="56" t="s">
        <v>1</v>
      </c>
      <c r="C98" s="56" t="s">
        <v>2</v>
      </c>
      <c r="D98" s="56" t="s">
        <v>3</v>
      </c>
      <c r="E98" s="56" t="s">
        <v>4</v>
      </c>
      <c r="H98" s="12" t="s">
        <v>0</v>
      </c>
      <c r="I98" s="14" t="s">
        <v>1</v>
      </c>
      <c r="J98" s="14" t="s">
        <v>2</v>
      </c>
      <c r="K98" s="14" t="s">
        <v>3</v>
      </c>
      <c r="L98" s="14" t="s">
        <v>4</v>
      </c>
      <c r="O98" s="127" t="s">
        <v>92</v>
      </c>
      <c r="P98" s="135">
        <v>2.5000000000000001E-2</v>
      </c>
      <c r="Q98" s="136">
        <v>7</v>
      </c>
      <c r="R98" s="137" t="s">
        <v>9</v>
      </c>
      <c r="S98" s="62">
        <f>P98*Q98</f>
        <v>0.17500000000000002</v>
      </c>
    </row>
    <row r="99" spans="1:19" ht="19.8" customHeight="1" x14ac:dyDescent="0.25">
      <c r="A99" s="57" t="s">
        <v>52</v>
      </c>
      <c r="B99" s="41">
        <v>0.22667000000000001</v>
      </c>
      <c r="C99" s="42">
        <v>100</v>
      </c>
      <c r="D99" s="43" t="s">
        <v>6</v>
      </c>
      <c r="E99" s="62">
        <f>B99*C99</f>
        <v>22.667000000000002</v>
      </c>
      <c r="H99" s="61" t="s">
        <v>51</v>
      </c>
      <c r="I99" s="66">
        <v>0.21249999999999999</v>
      </c>
      <c r="J99" s="63">
        <v>40</v>
      </c>
      <c r="K99" s="64" t="s">
        <v>6</v>
      </c>
      <c r="L99" s="62">
        <f t="shared" ref="L99:L103" si="14">I99*J99</f>
        <v>8.5</v>
      </c>
      <c r="O99" s="128"/>
      <c r="P99" s="141"/>
      <c r="Q99" s="142"/>
      <c r="R99" s="143"/>
      <c r="S99" s="141"/>
    </row>
    <row r="100" spans="1:19" ht="19.8" customHeight="1" x14ac:dyDescent="0.25">
      <c r="A100" s="61" t="s">
        <v>7</v>
      </c>
      <c r="B100" s="47">
        <v>0.1</v>
      </c>
      <c r="C100" s="45">
        <v>50</v>
      </c>
      <c r="D100" s="46" t="s">
        <v>6</v>
      </c>
      <c r="E100" s="62">
        <f t="shared" ref="E100:E110" si="15">B100*C100</f>
        <v>5</v>
      </c>
      <c r="H100" s="61" t="s">
        <v>52</v>
      </c>
      <c r="I100" s="67">
        <v>0.22667000000000001</v>
      </c>
      <c r="J100" s="63">
        <v>50</v>
      </c>
      <c r="K100" s="64" t="s">
        <v>6</v>
      </c>
      <c r="L100" s="62">
        <f t="shared" si="14"/>
        <v>11.333500000000001</v>
      </c>
      <c r="O100" s="154" t="s">
        <v>21</v>
      </c>
      <c r="P100" s="90"/>
      <c r="Q100" s="91">
        <v>326</v>
      </c>
      <c r="R100" s="89" t="s">
        <v>22</v>
      </c>
      <c r="S100" s="92">
        <f>SUM(S91:S99)</f>
        <v>16.867600000000003</v>
      </c>
    </row>
    <row r="101" spans="1:19" ht="19.8" customHeight="1" x14ac:dyDescent="0.25">
      <c r="A101" s="61" t="s">
        <v>14</v>
      </c>
      <c r="B101" s="47">
        <v>7.0000000000000007E-2</v>
      </c>
      <c r="C101" s="45">
        <v>10</v>
      </c>
      <c r="D101" s="46" t="s">
        <v>6</v>
      </c>
      <c r="E101" s="62">
        <f t="shared" si="15"/>
        <v>0.70000000000000007</v>
      </c>
      <c r="H101" s="61" t="s">
        <v>27</v>
      </c>
      <c r="I101" s="67">
        <v>2.188E-2</v>
      </c>
      <c r="J101" s="63">
        <v>20</v>
      </c>
      <c r="K101" s="64" t="s">
        <v>6</v>
      </c>
      <c r="L101" s="62">
        <f t="shared" si="14"/>
        <v>0.43759999999999999</v>
      </c>
    </row>
    <row r="102" spans="1:19" ht="19.8" customHeight="1" x14ac:dyDescent="0.25">
      <c r="A102" s="61" t="s">
        <v>20</v>
      </c>
      <c r="B102" s="48">
        <v>4.1669999999999999E-2</v>
      </c>
      <c r="C102" s="45">
        <v>10</v>
      </c>
      <c r="D102" s="46" t="s">
        <v>6</v>
      </c>
      <c r="E102" s="62">
        <f t="shared" si="15"/>
        <v>0.41669999999999996</v>
      </c>
      <c r="H102" s="61" t="s">
        <v>11</v>
      </c>
      <c r="I102" s="62">
        <v>7.0000000000000007E-2</v>
      </c>
      <c r="J102" s="63">
        <v>5</v>
      </c>
      <c r="K102" s="64" t="s">
        <v>6</v>
      </c>
      <c r="L102" s="62">
        <f t="shared" si="14"/>
        <v>0.35000000000000003</v>
      </c>
      <c r="O102" s="128" t="s">
        <v>17</v>
      </c>
      <c r="P102" s="141">
        <v>5.52</v>
      </c>
      <c r="Q102" s="142">
        <v>1</v>
      </c>
      <c r="R102" s="143" t="s">
        <v>18</v>
      </c>
      <c r="S102" s="141">
        <v>5.52</v>
      </c>
    </row>
    <row r="103" spans="1:19" ht="19.8" customHeight="1" x14ac:dyDescent="0.25">
      <c r="A103" s="61" t="s">
        <v>15</v>
      </c>
      <c r="B103" s="44">
        <v>3.7999999999999999E-2</v>
      </c>
      <c r="C103" s="45">
        <v>30</v>
      </c>
      <c r="D103" s="46" t="s">
        <v>6</v>
      </c>
      <c r="E103" s="62">
        <f t="shared" si="15"/>
        <v>1.1399999999999999</v>
      </c>
      <c r="H103" s="61" t="s">
        <v>53</v>
      </c>
      <c r="I103" s="62">
        <v>0</v>
      </c>
      <c r="J103" s="63">
        <v>7</v>
      </c>
      <c r="K103" s="64" t="s">
        <v>9</v>
      </c>
      <c r="L103" s="62">
        <f t="shared" si="14"/>
        <v>0</v>
      </c>
      <c r="O103" s="105" t="s">
        <v>21</v>
      </c>
      <c r="P103" s="151"/>
      <c r="Q103" s="152"/>
      <c r="R103" s="153"/>
      <c r="S103" s="123">
        <f>SUM(S100:S102)</f>
        <v>22.387600000000003</v>
      </c>
    </row>
    <row r="104" spans="1:19" ht="19.8" customHeight="1" x14ac:dyDescent="0.25">
      <c r="A104" s="61" t="s">
        <v>26</v>
      </c>
      <c r="B104" s="47">
        <v>0.05</v>
      </c>
      <c r="C104" s="45">
        <v>10</v>
      </c>
      <c r="D104" s="46" t="s">
        <v>6</v>
      </c>
      <c r="E104" s="62">
        <f t="shared" si="15"/>
        <v>0.5</v>
      </c>
      <c r="H104" s="61" t="s">
        <v>54</v>
      </c>
      <c r="I104" s="66">
        <v>4.1399999999999999E-2</v>
      </c>
      <c r="J104" s="63">
        <v>7</v>
      </c>
      <c r="K104" s="64" t="s">
        <v>9</v>
      </c>
      <c r="L104" s="62">
        <f>I104*J104</f>
        <v>0.2898</v>
      </c>
    </row>
    <row r="105" spans="1:19" ht="19.8" customHeight="1" x14ac:dyDescent="0.25">
      <c r="A105" s="61" t="s">
        <v>8</v>
      </c>
      <c r="B105" s="44">
        <v>4.7E-2</v>
      </c>
      <c r="C105" s="45">
        <v>15</v>
      </c>
      <c r="D105" s="46" t="s">
        <v>9</v>
      </c>
      <c r="E105" s="62">
        <f t="shared" si="15"/>
        <v>0.70499999999999996</v>
      </c>
      <c r="H105" s="75"/>
      <c r="I105" s="74"/>
      <c r="J105" s="76"/>
      <c r="K105" s="77"/>
      <c r="L105" s="74"/>
      <c r="O105" s="160" t="s">
        <v>110</v>
      </c>
      <c r="P105" s="160"/>
      <c r="Q105" s="160"/>
      <c r="R105" s="160"/>
      <c r="S105" s="160"/>
    </row>
    <row r="106" spans="1:19" ht="19.8" customHeight="1" x14ac:dyDescent="0.25">
      <c r="A106" s="61" t="s">
        <v>11</v>
      </c>
      <c r="B106" s="47">
        <v>7.0000000000000007E-2</v>
      </c>
      <c r="C106" s="45">
        <v>5</v>
      </c>
      <c r="D106" s="46" t="s">
        <v>6</v>
      </c>
      <c r="E106" s="62">
        <f t="shared" si="15"/>
        <v>0.35000000000000003</v>
      </c>
      <c r="H106" s="97" t="s">
        <v>21</v>
      </c>
      <c r="I106" s="85"/>
      <c r="J106" s="98">
        <v>335</v>
      </c>
      <c r="K106" s="99" t="s">
        <v>22</v>
      </c>
      <c r="L106" s="100">
        <f>SUM(L99:L105)</f>
        <v>20.910900000000002</v>
      </c>
      <c r="O106" s="159" t="s">
        <v>109</v>
      </c>
      <c r="P106" s="159"/>
      <c r="Q106" s="159"/>
      <c r="R106" s="159"/>
      <c r="S106" s="159"/>
    </row>
    <row r="107" spans="1:19" ht="19.8" customHeight="1" x14ac:dyDescent="0.25">
      <c r="A107" s="61" t="s">
        <v>19</v>
      </c>
      <c r="B107" s="44">
        <v>2.7E-2</v>
      </c>
      <c r="C107" s="45">
        <v>3</v>
      </c>
      <c r="D107" s="46" t="s">
        <v>6</v>
      </c>
      <c r="E107" s="62">
        <f t="shared" si="15"/>
        <v>8.1000000000000003E-2</v>
      </c>
      <c r="O107" s="125" t="s">
        <v>0</v>
      </c>
      <c r="P107" s="130" t="s">
        <v>1</v>
      </c>
      <c r="Q107" s="130" t="s">
        <v>2</v>
      </c>
      <c r="R107" s="130" t="s">
        <v>3</v>
      </c>
      <c r="S107" s="130" t="s">
        <v>4</v>
      </c>
    </row>
    <row r="108" spans="1:19" ht="19.8" customHeight="1" x14ac:dyDescent="0.25">
      <c r="A108" s="61" t="s">
        <v>16</v>
      </c>
      <c r="B108" s="44">
        <v>5.5E-2</v>
      </c>
      <c r="C108" s="45">
        <v>15</v>
      </c>
      <c r="D108" s="46" t="s">
        <v>9</v>
      </c>
      <c r="E108" s="62">
        <f t="shared" si="15"/>
        <v>0.82499999999999996</v>
      </c>
      <c r="H108" s="61" t="s">
        <v>65</v>
      </c>
      <c r="I108" s="62">
        <v>5.52</v>
      </c>
      <c r="J108" s="63">
        <v>1</v>
      </c>
      <c r="K108" s="64" t="s">
        <v>18</v>
      </c>
      <c r="L108" s="62">
        <v>5.52</v>
      </c>
      <c r="O108" s="126" t="s">
        <v>89</v>
      </c>
      <c r="P108" s="134">
        <v>0.03</v>
      </c>
      <c r="Q108" s="132">
        <v>100</v>
      </c>
      <c r="R108" s="133" t="s">
        <v>6</v>
      </c>
      <c r="S108" s="62">
        <f t="shared" ref="S108:S115" si="16">P108*Q108</f>
        <v>3</v>
      </c>
    </row>
    <row r="109" spans="1:19" ht="19.8" customHeight="1" x14ac:dyDescent="0.25">
      <c r="A109" s="61" t="s">
        <v>30</v>
      </c>
      <c r="B109" s="48">
        <v>8.8569999999999996E-2</v>
      </c>
      <c r="C109" s="45">
        <v>7</v>
      </c>
      <c r="D109" s="46" t="s">
        <v>9</v>
      </c>
      <c r="E109" s="62">
        <f t="shared" si="15"/>
        <v>0.61998999999999993</v>
      </c>
      <c r="H109" s="117" t="s">
        <v>66</v>
      </c>
      <c r="I109" s="34">
        <v>7.12</v>
      </c>
      <c r="J109" s="32">
        <v>1</v>
      </c>
      <c r="K109" s="33" t="s">
        <v>18</v>
      </c>
      <c r="L109" s="34">
        <v>6</v>
      </c>
      <c r="O109" s="127" t="s">
        <v>15</v>
      </c>
      <c r="P109" s="135">
        <v>3.7999999999999999E-2</v>
      </c>
      <c r="Q109" s="136">
        <v>20</v>
      </c>
      <c r="R109" s="137" t="s">
        <v>6</v>
      </c>
      <c r="S109" s="62">
        <f t="shared" si="16"/>
        <v>0.76</v>
      </c>
    </row>
    <row r="110" spans="1:19" ht="19.8" customHeight="1" x14ac:dyDescent="0.25">
      <c r="A110" s="61" t="s">
        <v>31</v>
      </c>
      <c r="B110" s="44">
        <v>0.34399999999999997</v>
      </c>
      <c r="C110" s="45">
        <v>3</v>
      </c>
      <c r="D110" s="46" t="s">
        <v>6</v>
      </c>
      <c r="E110" s="62">
        <f t="shared" si="15"/>
        <v>1.032</v>
      </c>
      <c r="H110" s="118" t="s">
        <v>48</v>
      </c>
      <c r="I110" s="35">
        <v>2.33</v>
      </c>
      <c r="J110" s="36">
        <v>1</v>
      </c>
      <c r="K110" s="37" t="s">
        <v>18</v>
      </c>
      <c r="L110" s="35">
        <v>2.33</v>
      </c>
      <c r="O110" s="127" t="s">
        <v>14</v>
      </c>
      <c r="P110" s="138">
        <v>7.0000000000000007E-2</v>
      </c>
      <c r="Q110" s="136">
        <v>1</v>
      </c>
      <c r="R110" s="137" t="s">
        <v>6</v>
      </c>
      <c r="S110" s="62">
        <f t="shared" si="16"/>
        <v>7.0000000000000007E-2</v>
      </c>
    </row>
    <row r="111" spans="1:19" ht="21" customHeight="1" x14ac:dyDescent="0.25">
      <c r="A111" s="61" t="s">
        <v>32</v>
      </c>
      <c r="B111" s="47">
        <v>0.4</v>
      </c>
      <c r="C111" s="45">
        <v>3</v>
      </c>
      <c r="D111" s="46" t="s">
        <v>6</v>
      </c>
      <c r="E111" s="62">
        <f>B111*C111</f>
        <v>1.2000000000000002</v>
      </c>
      <c r="H111" s="105" t="s">
        <v>21</v>
      </c>
      <c r="I111" s="79"/>
      <c r="J111" s="106">
        <v>335</v>
      </c>
      <c r="K111" s="107" t="s">
        <v>22</v>
      </c>
      <c r="L111" s="108">
        <f>SUM(L106:L110)</f>
        <v>34.760899999999999</v>
      </c>
      <c r="O111" s="127" t="s">
        <v>87</v>
      </c>
      <c r="P111" s="138">
        <v>0.16</v>
      </c>
      <c r="Q111" s="136">
        <v>10</v>
      </c>
      <c r="R111" s="137" t="s">
        <v>6</v>
      </c>
      <c r="S111" s="62">
        <f t="shared" si="16"/>
        <v>1.6</v>
      </c>
    </row>
    <row r="112" spans="1:19" ht="20.399999999999999" customHeight="1" x14ac:dyDescent="0.25">
      <c r="A112" s="68" t="s">
        <v>64</v>
      </c>
      <c r="B112" s="69">
        <v>2.3E-2</v>
      </c>
      <c r="C112" s="70">
        <v>100</v>
      </c>
      <c r="D112" s="71" t="s">
        <v>6</v>
      </c>
      <c r="E112" s="62">
        <f>B112*C112</f>
        <v>2.2999999999999998</v>
      </c>
      <c r="O112" s="127" t="s">
        <v>107</v>
      </c>
      <c r="P112" s="138">
        <v>0.05</v>
      </c>
      <c r="Q112" s="136">
        <v>20</v>
      </c>
      <c r="R112" s="137" t="s">
        <v>6</v>
      </c>
      <c r="S112" s="62">
        <f t="shared" si="16"/>
        <v>1</v>
      </c>
    </row>
    <row r="113" spans="1:19" ht="20.399999999999999" customHeight="1" x14ac:dyDescent="0.25">
      <c r="A113" s="97" t="s">
        <v>21</v>
      </c>
      <c r="B113" s="85"/>
      <c r="C113" s="98">
        <v>335</v>
      </c>
      <c r="D113" s="99" t="s">
        <v>22</v>
      </c>
      <c r="E113" s="100">
        <f>SUM(E99:E112)</f>
        <v>37.536690000000007</v>
      </c>
      <c r="H113" s="165"/>
      <c r="I113" s="165"/>
      <c r="J113" s="165"/>
      <c r="K113" s="165"/>
      <c r="L113" s="165"/>
      <c r="M113" s="10"/>
      <c r="N113" s="10"/>
      <c r="O113" s="127" t="s">
        <v>11</v>
      </c>
      <c r="P113" s="138">
        <v>7.0000000000000007E-2</v>
      </c>
      <c r="Q113" s="136">
        <v>5</v>
      </c>
      <c r="R113" s="137" t="s">
        <v>6</v>
      </c>
      <c r="S113" s="62">
        <f t="shared" si="16"/>
        <v>0.35000000000000003</v>
      </c>
    </row>
    <row r="114" spans="1:19" ht="20.399999999999999" customHeight="1" x14ac:dyDescent="0.25">
      <c r="A114" s="110"/>
      <c r="B114" s="96"/>
      <c r="C114" s="111"/>
      <c r="D114" s="112"/>
      <c r="E114" s="113"/>
      <c r="H114" s="121"/>
      <c r="I114" s="121"/>
      <c r="J114" s="121"/>
      <c r="K114" s="121"/>
      <c r="L114" s="121"/>
      <c r="M114" s="10"/>
      <c r="N114" s="10"/>
      <c r="O114" s="127" t="s">
        <v>13</v>
      </c>
      <c r="P114" s="135">
        <v>1.4999999999999999E-2</v>
      </c>
      <c r="Q114" s="136">
        <v>3</v>
      </c>
      <c r="R114" s="137" t="s">
        <v>6</v>
      </c>
      <c r="S114" s="62">
        <f t="shared" si="16"/>
        <v>4.4999999999999998E-2</v>
      </c>
    </row>
    <row r="115" spans="1:19" ht="20.399999999999999" customHeight="1" x14ac:dyDescent="0.25">
      <c r="A115" s="72" t="s">
        <v>44</v>
      </c>
      <c r="B115" s="20">
        <v>5.94</v>
      </c>
      <c r="C115" s="21">
        <v>1</v>
      </c>
      <c r="D115" s="5" t="s">
        <v>18</v>
      </c>
      <c r="E115" s="20">
        <v>5.94</v>
      </c>
      <c r="H115" s="122"/>
      <c r="I115" s="122"/>
      <c r="J115" s="122"/>
      <c r="K115" s="122"/>
      <c r="L115" s="122"/>
      <c r="M115" s="10"/>
      <c r="N115" s="10"/>
      <c r="O115" s="128" t="s">
        <v>111</v>
      </c>
      <c r="P115" s="141">
        <v>0.05</v>
      </c>
      <c r="Q115" s="142">
        <v>5</v>
      </c>
      <c r="R115" s="143" t="s">
        <v>6</v>
      </c>
      <c r="S115" s="74">
        <f t="shared" si="16"/>
        <v>0.25</v>
      </c>
    </row>
    <row r="116" spans="1:19" ht="20.399999999999999" customHeight="1" x14ac:dyDescent="0.25">
      <c r="A116" s="105" t="s">
        <v>21</v>
      </c>
      <c r="B116" s="79"/>
      <c r="C116" s="106">
        <v>335</v>
      </c>
      <c r="D116" s="107" t="s">
        <v>22</v>
      </c>
      <c r="E116" s="108">
        <f>SUM(E113:E115)</f>
        <v>43.476690000000005</v>
      </c>
      <c r="H116" s="120"/>
      <c r="I116" s="120"/>
      <c r="J116" s="120"/>
      <c r="K116" s="120"/>
      <c r="L116" s="120"/>
      <c r="M116" s="10"/>
      <c r="N116" s="10"/>
      <c r="O116" s="154" t="s">
        <v>21</v>
      </c>
      <c r="P116" s="90"/>
      <c r="Q116" s="91">
        <v>326</v>
      </c>
      <c r="R116" s="89" t="s">
        <v>22</v>
      </c>
      <c r="S116" s="92">
        <f>SUM(S108:S115)</f>
        <v>7.0749999999999993</v>
      </c>
    </row>
    <row r="117" spans="1:19" s="94" customFormat="1" ht="20.399999999999999" customHeight="1" x14ac:dyDescent="0.25">
      <c r="A117" s="110"/>
      <c r="B117" s="96"/>
      <c r="C117" s="111"/>
      <c r="D117" s="112"/>
      <c r="E117" s="113"/>
      <c r="H117" s="120"/>
      <c r="I117" s="120"/>
      <c r="J117" s="120"/>
      <c r="K117" s="120"/>
      <c r="L117" s="120"/>
      <c r="M117" s="124"/>
      <c r="N117" s="124"/>
      <c r="O117" s="3"/>
      <c r="P117" s="3"/>
      <c r="Q117" s="3"/>
      <c r="R117" s="3"/>
      <c r="S117" s="3"/>
    </row>
    <row r="118" spans="1:19" ht="20.399999999999999" customHeight="1" x14ac:dyDescent="0.25">
      <c r="A118" s="160" t="s">
        <v>83</v>
      </c>
      <c r="B118" s="160"/>
      <c r="C118" s="160"/>
      <c r="D118" s="160"/>
      <c r="E118" s="160"/>
      <c r="H118" s="163" t="s">
        <v>77</v>
      </c>
      <c r="I118" s="163"/>
      <c r="J118" s="163"/>
      <c r="K118" s="163"/>
      <c r="L118" s="163"/>
      <c r="M118" s="10"/>
      <c r="N118" s="10"/>
      <c r="O118" s="128" t="s">
        <v>17</v>
      </c>
      <c r="P118" s="141">
        <v>5.52</v>
      </c>
      <c r="Q118" s="142">
        <v>1</v>
      </c>
      <c r="R118" s="143" t="s">
        <v>18</v>
      </c>
      <c r="S118" s="141">
        <v>5.52</v>
      </c>
    </row>
    <row r="119" spans="1:19" ht="20.399999999999999" customHeight="1" x14ac:dyDescent="0.25">
      <c r="A119" s="159" t="s">
        <v>72</v>
      </c>
      <c r="B119" s="159"/>
      <c r="C119" s="159"/>
      <c r="D119" s="159"/>
      <c r="E119" s="159"/>
      <c r="H119" s="159" t="s">
        <v>72</v>
      </c>
      <c r="I119" s="159"/>
      <c r="J119" s="159"/>
      <c r="K119" s="159"/>
      <c r="L119" s="159"/>
      <c r="M119" s="10"/>
      <c r="N119" s="10"/>
      <c r="O119" s="105" t="s">
        <v>21</v>
      </c>
      <c r="P119" s="151"/>
      <c r="Q119" s="152"/>
      <c r="R119" s="153"/>
      <c r="S119" s="123">
        <f>SUM(S116:S118)</f>
        <v>12.594999999999999</v>
      </c>
    </row>
    <row r="120" spans="1:19" ht="20.399999999999999" customHeight="1" x14ac:dyDescent="0.25">
      <c r="A120" s="125" t="s">
        <v>0</v>
      </c>
      <c r="B120" s="130" t="s">
        <v>1</v>
      </c>
      <c r="C120" s="130" t="s">
        <v>2</v>
      </c>
      <c r="D120" s="130" t="s">
        <v>3</v>
      </c>
      <c r="E120" s="130" t="s">
        <v>4</v>
      </c>
      <c r="H120" s="55" t="s">
        <v>0</v>
      </c>
      <c r="I120" s="56" t="s">
        <v>1</v>
      </c>
      <c r="J120" s="56" t="s">
        <v>2</v>
      </c>
      <c r="K120" s="56" t="s">
        <v>3</v>
      </c>
      <c r="L120" s="56" t="s">
        <v>4</v>
      </c>
    </row>
    <row r="121" spans="1:19" ht="20.399999999999999" customHeight="1" x14ac:dyDescent="0.25">
      <c r="A121" s="126" t="s">
        <v>23</v>
      </c>
      <c r="B121" s="131">
        <v>0.14152000000000001</v>
      </c>
      <c r="C121" s="132">
        <v>150</v>
      </c>
      <c r="D121" s="133" t="s">
        <v>6</v>
      </c>
      <c r="E121" s="62">
        <f>B121*C121</f>
        <v>21.228000000000002</v>
      </c>
      <c r="H121" s="57" t="s">
        <v>23</v>
      </c>
      <c r="I121" s="41">
        <v>0.14152000000000001</v>
      </c>
      <c r="J121" s="42">
        <v>70</v>
      </c>
      <c r="K121" s="43" t="s">
        <v>6</v>
      </c>
      <c r="L121" s="62">
        <f t="shared" ref="L121:L129" si="17">I121*J121</f>
        <v>9.9063999999999997</v>
      </c>
      <c r="O121" s="160" t="s">
        <v>112</v>
      </c>
      <c r="P121" s="160"/>
      <c r="Q121" s="160"/>
      <c r="R121" s="160"/>
      <c r="S121" s="160"/>
    </row>
    <row r="122" spans="1:19" ht="20.399999999999999" customHeight="1" x14ac:dyDescent="0.25">
      <c r="A122" s="127" t="s">
        <v>79</v>
      </c>
      <c r="B122" s="135">
        <v>2.3E-2</v>
      </c>
      <c r="C122" s="136">
        <v>140</v>
      </c>
      <c r="D122" s="137" t="s">
        <v>6</v>
      </c>
      <c r="E122" s="62">
        <f t="shared" ref="E122:E130" si="18">B122*C122</f>
        <v>3.2199999999999998</v>
      </c>
      <c r="H122" s="61" t="s">
        <v>74</v>
      </c>
      <c r="I122" s="47">
        <v>0.08</v>
      </c>
      <c r="J122" s="45">
        <v>50</v>
      </c>
      <c r="K122" s="46" t="s">
        <v>6</v>
      </c>
      <c r="L122" s="62">
        <f t="shared" si="17"/>
        <v>4</v>
      </c>
      <c r="O122" s="159" t="s">
        <v>98</v>
      </c>
      <c r="P122" s="159"/>
      <c r="Q122" s="159"/>
      <c r="R122" s="159"/>
      <c r="S122" s="159"/>
    </row>
    <row r="123" spans="1:19" ht="20.399999999999999" customHeight="1" x14ac:dyDescent="0.25">
      <c r="A123" s="127" t="s">
        <v>27</v>
      </c>
      <c r="B123" s="139">
        <v>2.188E-2</v>
      </c>
      <c r="C123" s="136">
        <v>20</v>
      </c>
      <c r="D123" s="137" t="s">
        <v>6</v>
      </c>
      <c r="E123" s="62">
        <f t="shared" si="18"/>
        <v>0.43759999999999999</v>
      </c>
      <c r="H123" s="61" t="s">
        <v>37</v>
      </c>
      <c r="I123" s="47">
        <v>0.09</v>
      </c>
      <c r="J123" s="45">
        <v>20</v>
      </c>
      <c r="K123" s="46" t="s">
        <v>6</v>
      </c>
      <c r="L123" s="62">
        <f t="shared" si="17"/>
        <v>1.7999999999999998</v>
      </c>
      <c r="O123" s="125" t="s">
        <v>0</v>
      </c>
      <c r="P123" s="130" t="s">
        <v>1</v>
      </c>
      <c r="Q123" s="130" t="s">
        <v>2</v>
      </c>
      <c r="R123" s="130" t="s">
        <v>3</v>
      </c>
      <c r="S123" s="130" t="s">
        <v>4</v>
      </c>
    </row>
    <row r="124" spans="1:19" ht="20.399999999999999" customHeight="1" x14ac:dyDescent="0.25">
      <c r="A124" s="127" t="s">
        <v>28</v>
      </c>
      <c r="B124" s="140">
        <v>6.25E-2</v>
      </c>
      <c r="C124" s="136">
        <v>20</v>
      </c>
      <c r="D124" s="137" t="s">
        <v>6</v>
      </c>
      <c r="E124" s="62">
        <f t="shared" si="18"/>
        <v>1.25</v>
      </c>
      <c r="H124" s="61" t="s">
        <v>27</v>
      </c>
      <c r="I124" s="48">
        <v>2.188E-2</v>
      </c>
      <c r="J124" s="45">
        <v>10</v>
      </c>
      <c r="K124" s="46" t="s">
        <v>6</v>
      </c>
      <c r="L124" s="62">
        <f t="shared" si="17"/>
        <v>0.21879999999999999</v>
      </c>
      <c r="O124" s="126" t="s">
        <v>113</v>
      </c>
      <c r="P124" s="134">
        <v>0.05</v>
      </c>
      <c r="Q124" s="132">
        <v>200</v>
      </c>
      <c r="R124" s="133" t="s">
        <v>6</v>
      </c>
      <c r="S124" s="134">
        <v>10</v>
      </c>
    </row>
    <row r="125" spans="1:19" ht="20.399999999999999" customHeight="1" x14ac:dyDescent="0.25">
      <c r="A125" s="127" t="s">
        <v>80</v>
      </c>
      <c r="B125" s="135">
        <v>3.5000000000000003E-2</v>
      </c>
      <c r="C125" s="136">
        <v>20</v>
      </c>
      <c r="D125" s="137" t="s">
        <v>6</v>
      </c>
      <c r="E125" s="62">
        <f t="shared" si="18"/>
        <v>0.70000000000000007</v>
      </c>
      <c r="H125" s="61" t="s">
        <v>24</v>
      </c>
      <c r="I125" s="47">
        <v>0.03</v>
      </c>
      <c r="J125" s="45">
        <v>10</v>
      </c>
      <c r="K125" s="46" t="s">
        <v>6</v>
      </c>
      <c r="L125" s="62">
        <f t="shared" si="17"/>
        <v>0.3</v>
      </c>
      <c r="O125" s="127" t="s">
        <v>14</v>
      </c>
      <c r="P125" s="138">
        <v>7.0000000000000007E-2</v>
      </c>
      <c r="Q125" s="136">
        <v>1</v>
      </c>
      <c r="R125" s="137" t="s">
        <v>6</v>
      </c>
      <c r="S125" s="138">
        <v>7.0000000000000007E-2</v>
      </c>
    </row>
    <row r="126" spans="1:19" ht="20.399999999999999" customHeight="1" x14ac:dyDescent="0.25">
      <c r="A126" s="127" t="s">
        <v>24</v>
      </c>
      <c r="B126" s="138">
        <v>0.03</v>
      </c>
      <c r="C126" s="136">
        <v>20</v>
      </c>
      <c r="D126" s="137" t="s">
        <v>6</v>
      </c>
      <c r="E126" s="62">
        <f t="shared" si="18"/>
        <v>0.6</v>
      </c>
      <c r="H126" s="61" t="s">
        <v>28</v>
      </c>
      <c r="I126" s="53">
        <v>6.25E-2</v>
      </c>
      <c r="J126" s="45">
        <v>10</v>
      </c>
      <c r="K126" s="46" t="s">
        <v>6</v>
      </c>
      <c r="L126" s="62">
        <f t="shared" si="17"/>
        <v>0.625</v>
      </c>
      <c r="O126" s="127" t="s">
        <v>8</v>
      </c>
      <c r="P126" s="135">
        <v>4.7E-2</v>
      </c>
      <c r="Q126" s="136">
        <v>7</v>
      </c>
      <c r="R126" s="137" t="s">
        <v>9</v>
      </c>
      <c r="S126" s="138">
        <v>0.33</v>
      </c>
    </row>
    <row r="127" spans="1:19" ht="20.399999999999999" customHeight="1" x14ac:dyDescent="0.25">
      <c r="A127" s="127" t="s">
        <v>14</v>
      </c>
      <c r="B127" s="138">
        <v>7.0000000000000007E-2</v>
      </c>
      <c r="C127" s="136">
        <v>5</v>
      </c>
      <c r="D127" s="137" t="s">
        <v>6</v>
      </c>
      <c r="E127" s="62">
        <f t="shared" si="18"/>
        <v>0.35000000000000003</v>
      </c>
      <c r="H127" s="61" t="s">
        <v>75</v>
      </c>
      <c r="I127" s="47">
        <v>0.11</v>
      </c>
      <c r="J127" s="45">
        <v>10</v>
      </c>
      <c r="K127" s="46" t="s">
        <v>6</v>
      </c>
      <c r="L127" s="62">
        <f t="shared" si="17"/>
        <v>1.1000000000000001</v>
      </c>
      <c r="O127" s="127" t="s">
        <v>11</v>
      </c>
      <c r="P127" s="138">
        <v>7.0000000000000007E-2</v>
      </c>
      <c r="Q127" s="136">
        <v>5</v>
      </c>
      <c r="R127" s="137" t="s">
        <v>6</v>
      </c>
      <c r="S127" s="138">
        <v>0.35</v>
      </c>
    </row>
    <row r="128" spans="1:19" ht="20.399999999999999" customHeight="1" x14ac:dyDescent="0.25">
      <c r="A128" s="127" t="s">
        <v>81</v>
      </c>
      <c r="B128" s="138">
        <v>0.1</v>
      </c>
      <c r="C128" s="136">
        <v>7</v>
      </c>
      <c r="D128" s="137" t="s">
        <v>6</v>
      </c>
      <c r="E128" s="62">
        <f t="shared" si="18"/>
        <v>0.70000000000000007</v>
      </c>
      <c r="H128" s="61" t="s">
        <v>76</v>
      </c>
      <c r="I128" s="47">
        <v>1.1399999999999999</v>
      </c>
      <c r="J128" s="45">
        <v>2</v>
      </c>
      <c r="K128" s="46" t="s">
        <v>18</v>
      </c>
      <c r="L128" s="62">
        <f>I128*J128</f>
        <v>2.2799999999999998</v>
      </c>
      <c r="O128" s="127" t="s">
        <v>13</v>
      </c>
      <c r="P128" s="135">
        <v>1.4999999999999999E-2</v>
      </c>
      <c r="Q128" s="136">
        <v>3</v>
      </c>
      <c r="R128" s="137" t="s">
        <v>6</v>
      </c>
      <c r="S128" s="138">
        <v>0.05</v>
      </c>
    </row>
    <row r="129" spans="1:19" ht="20.399999999999999" customHeight="1" x14ac:dyDescent="0.25">
      <c r="A129" s="127" t="s">
        <v>76</v>
      </c>
      <c r="B129" s="138">
        <v>1.1399999999999999</v>
      </c>
      <c r="C129" s="136">
        <v>2</v>
      </c>
      <c r="D129" s="137" t="s">
        <v>18</v>
      </c>
      <c r="E129" s="62">
        <f t="shared" si="18"/>
        <v>2.2799999999999998</v>
      </c>
      <c r="H129" s="61" t="s">
        <v>40</v>
      </c>
      <c r="I129" s="47">
        <v>0.1</v>
      </c>
      <c r="J129" s="45">
        <v>20</v>
      </c>
      <c r="K129" s="46" t="s">
        <v>6</v>
      </c>
      <c r="L129" s="62">
        <f t="shared" si="17"/>
        <v>2</v>
      </c>
      <c r="O129" s="128"/>
      <c r="P129" s="141"/>
      <c r="Q129" s="142"/>
      <c r="R129" s="143"/>
      <c r="S129" s="141"/>
    </row>
    <row r="130" spans="1:19" ht="20.399999999999999" customHeight="1" x14ac:dyDescent="0.25">
      <c r="A130" s="127" t="s">
        <v>82</v>
      </c>
      <c r="B130" s="135">
        <v>7.9000000000000001E-2</v>
      </c>
      <c r="C130" s="136">
        <v>20</v>
      </c>
      <c r="D130" s="137" t="s">
        <v>6</v>
      </c>
      <c r="E130" s="62">
        <f t="shared" si="18"/>
        <v>1.58</v>
      </c>
      <c r="H130" s="61" t="s">
        <v>11</v>
      </c>
      <c r="I130" s="47">
        <v>7.0000000000000007E-2</v>
      </c>
      <c r="J130" s="45">
        <v>5</v>
      </c>
      <c r="K130" s="46" t="s">
        <v>6</v>
      </c>
      <c r="L130" s="62">
        <f>I130*J130</f>
        <v>0.35000000000000003</v>
      </c>
      <c r="O130" s="89" t="s">
        <v>21</v>
      </c>
      <c r="P130" s="90"/>
      <c r="Q130" s="91">
        <v>326</v>
      </c>
      <c r="R130" s="89" t="s">
        <v>22</v>
      </c>
      <c r="S130" s="92">
        <f>SUM(S124:S129)</f>
        <v>10.8</v>
      </c>
    </row>
    <row r="131" spans="1:19" ht="20.399999999999999" customHeight="1" x14ac:dyDescent="0.25">
      <c r="A131" s="68" t="s">
        <v>64</v>
      </c>
      <c r="B131" s="69">
        <v>2.3E-2</v>
      </c>
      <c r="C131" s="70">
        <v>100</v>
      </c>
      <c r="D131" s="71" t="s">
        <v>6</v>
      </c>
      <c r="E131" s="62">
        <f>B131*C131</f>
        <v>2.2999999999999998</v>
      </c>
      <c r="H131" s="68" t="s">
        <v>45</v>
      </c>
      <c r="I131" s="49">
        <v>7.12</v>
      </c>
      <c r="J131" s="50">
        <v>1</v>
      </c>
      <c r="K131" s="51" t="s">
        <v>18</v>
      </c>
      <c r="L131" s="62">
        <f>I131*J131</f>
        <v>7.12</v>
      </c>
    </row>
    <row r="132" spans="1:19" ht="20.399999999999999" customHeight="1" x14ac:dyDescent="0.25">
      <c r="A132" s="144" t="s">
        <v>21</v>
      </c>
      <c r="B132" s="145"/>
      <c r="C132" s="146">
        <v>405</v>
      </c>
      <c r="D132" s="144" t="s">
        <v>22</v>
      </c>
      <c r="E132" s="100">
        <f>SUM(E121:E131)</f>
        <v>34.645600000000002</v>
      </c>
      <c r="F132" s="10"/>
      <c r="G132" s="10"/>
      <c r="H132" s="97" t="s">
        <v>21</v>
      </c>
      <c r="I132" s="85"/>
      <c r="J132" s="98">
        <v>335</v>
      </c>
      <c r="K132" s="99" t="s">
        <v>22</v>
      </c>
      <c r="L132" s="100">
        <f>SUM(L121:L131)</f>
        <v>29.700200000000002</v>
      </c>
      <c r="O132" s="128" t="s">
        <v>17</v>
      </c>
      <c r="P132" s="141">
        <v>5.52</v>
      </c>
      <c r="Q132" s="142">
        <v>1</v>
      </c>
      <c r="R132" s="143" t="s">
        <v>18</v>
      </c>
      <c r="S132" s="141">
        <v>5.52</v>
      </c>
    </row>
    <row r="133" spans="1:19" ht="20.399999999999999" customHeight="1" x14ac:dyDescent="0.25">
      <c r="O133" s="105" t="s">
        <v>21</v>
      </c>
      <c r="P133" s="151"/>
      <c r="Q133" s="152"/>
      <c r="R133" s="153"/>
      <c r="S133" s="123">
        <f>SUM(S130:S132)</f>
        <v>16.32</v>
      </c>
    </row>
    <row r="134" spans="1:19" ht="20.399999999999999" customHeight="1" x14ac:dyDescent="0.25">
      <c r="H134" s="61" t="s">
        <v>65</v>
      </c>
      <c r="I134" s="62">
        <v>5.52</v>
      </c>
      <c r="J134" s="63">
        <v>1</v>
      </c>
      <c r="K134" s="64" t="s">
        <v>18</v>
      </c>
      <c r="L134" s="62">
        <v>5.52</v>
      </c>
    </row>
    <row r="135" spans="1:19" ht="20.399999999999999" customHeight="1" x14ac:dyDescent="0.25">
      <c r="H135" s="117" t="s">
        <v>66</v>
      </c>
      <c r="I135" s="34">
        <v>7.12</v>
      </c>
      <c r="J135" s="32">
        <v>1</v>
      </c>
      <c r="K135" s="33" t="s">
        <v>18</v>
      </c>
      <c r="L135" s="34">
        <v>7.12</v>
      </c>
    </row>
    <row r="136" spans="1:19" ht="20.399999999999999" customHeight="1" x14ac:dyDescent="0.25">
      <c r="A136" s="61" t="s">
        <v>65</v>
      </c>
      <c r="B136" s="62">
        <v>5.52</v>
      </c>
      <c r="C136" s="63">
        <v>1</v>
      </c>
      <c r="D136" s="64" t="s">
        <v>18</v>
      </c>
      <c r="E136" s="62">
        <v>5.52</v>
      </c>
      <c r="H136" s="118" t="s">
        <v>48</v>
      </c>
      <c r="I136" s="35">
        <v>2.33</v>
      </c>
      <c r="J136" s="36">
        <v>1</v>
      </c>
      <c r="K136" s="37" t="s">
        <v>18</v>
      </c>
      <c r="L136" s="35">
        <v>2.33</v>
      </c>
    </row>
    <row r="137" spans="1:19" ht="20.399999999999999" customHeight="1" x14ac:dyDescent="0.25">
      <c r="A137" s="105" t="s">
        <v>21</v>
      </c>
      <c r="B137" s="79"/>
      <c r="C137" s="106">
        <v>335</v>
      </c>
      <c r="D137" s="107" t="s">
        <v>22</v>
      </c>
      <c r="E137" s="108">
        <f>SUM(E132:E136)</f>
        <v>40.165599999999998</v>
      </c>
      <c r="H137" s="105" t="s">
        <v>21</v>
      </c>
      <c r="I137" s="79"/>
      <c r="J137" s="106">
        <v>335</v>
      </c>
      <c r="K137" s="107" t="s">
        <v>22</v>
      </c>
      <c r="L137" s="108">
        <f>SUM(L132:L136)</f>
        <v>44.670200000000001</v>
      </c>
    </row>
    <row r="138" spans="1:19" ht="20.399999999999999" customHeight="1" x14ac:dyDescent="0.25"/>
    <row r="139" spans="1:19" ht="20.399999999999999" customHeight="1" x14ac:dyDescent="0.25"/>
    <row r="140" spans="1:19" ht="20.399999999999999" customHeight="1" x14ac:dyDescent="0.25">
      <c r="A140" s="161" t="s">
        <v>85</v>
      </c>
      <c r="B140" s="161"/>
      <c r="C140" s="161"/>
      <c r="D140" s="161"/>
      <c r="E140" s="161"/>
    </row>
    <row r="141" spans="1:19" ht="20.399999999999999" customHeight="1" x14ac:dyDescent="0.25">
      <c r="A141" s="159" t="s">
        <v>70</v>
      </c>
      <c r="B141" s="159"/>
      <c r="C141" s="159"/>
      <c r="D141" s="159"/>
      <c r="E141" s="159"/>
    </row>
    <row r="142" spans="1:19" ht="20.399999999999999" customHeight="1" x14ac:dyDescent="0.25">
      <c r="A142" s="125" t="s">
        <v>0</v>
      </c>
      <c r="B142" s="129" t="s">
        <v>1</v>
      </c>
      <c r="C142" s="129" t="s">
        <v>2</v>
      </c>
      <c r="D142" s="129" t="s">
        <v>3</v>
      </c>
      <c r="E142" s="129" t="s">
        <v>4</v>
      </c>
    </row>
    <row r="143" spans="1:19" ht="24" customHeight="1" x14ac:dyDescent="0.25">
      <c r="A143" s="126" t="s">
        <v>84</v>
      </c>
      <c r="B143" s="148">
        <v>0.155</v>
      </c>
      <c r="C143" s="132">
        <v>100</v>
      </c>
      <c r="D143" s="133" t="s">
        <v>6</v>
      </c>
      <c r="E143" s="62">
        <f>B143*C143</f>
        <v>15.5</v>
      </c>
    </row>
    <row r="144" spans="1:19" ht="24" customHeight="1" x14ac:dyDescent="0.25">
      <c r="A144" s="127" t="s">
        <v>7</v>
      </c>
      <c r="B144" s="138">
        <v>0.1</v>
      </c>
      <c r="C144" s="136">
        <v>50</v>
      </c>
      <c r="D144" s="137" t="s">
        <v>6</v>
      </c>
      <c r="E144" s="62">
        <f t="shared" ref="E144:E149" si="19">B144*C144</f>
        <v>5</v>
      </c>
      <c r="F144" s="13"/>
      <c r="G144" s="13"/>
    </row>
    <row r="145" spans="1:5" ht="24" customHeight="1" x14ac:dyDescent="0.25">
      <c r="A145" s="127" t="s">
        <v>8</v>
      </c>
      <c r="B145" s="135">
        <v>4.7E-2</v>
      </c>
      <c r="C145" s="136">
        <v>15</v>
      </c>
      <c r="D145" s="137" t="s">
        <v>9</v>
      </c>
      <c r="E145" s="62">
        <f t="shared" si="19"/>
        <v>0.70499999999999996</v>
      </c>
    </row>
    <row r="146" spans="1:5" ht="24" customHeight="1" x14ac:dyDescent="0.25">
      <c r="A146" s="127" t="s">
        <v>14</v>
      </c>
      <c r="B146" s="138">
        <v>7.0000000000000007E-2</v>
      </c>
      <c r="C146" s="136">
        <v>10</v>
      </c>
      <c r="D146" s="137" t="s">
        <v>6</v>
      </c>
      <c r="E146" s="62">
        <f t="shared" si="19"/>
        <v>0.70000000000000007</v>
      </c>
    </row>
    <row r="147" spans="1:5" ht="24" customHeight="1" x14ac:dyDescent="0.25">
      <c r="A147" s="127" t="s">
        <v>20</v>
      </c>
      <c r="B147" s="139">
        <v>4.1669999999999999E-2</v>
      </c>
      <c r="C147" s="136">
        <v>10</v>
      </c>
      <c r="D147" s="137" t="s">
        <v>6</v>
      </c>
      <c r="E147" s="62">
        <f t="shared" si="19"/>
        <v>0.41669999999999996</v>
      </c>
    </row>
    <row r="148" spans="1:5" ht="24" customHeight="1" x14ac:dyDescent="0.25">
      <c r="A148" s="127" t="s">
        <v>36</v>
      </c>
      <c r="B148" s="140">
        <v>7.1199999999999999E-2</v>
      </c>
      <c r="C148" s="136">
        <v>7</v>
      </c>
      <c r="D148" s="137" t="s">
        <v>9</v>
      </c>
      <c r="E148" s="62">
        <f t="shared" si="19"/>
        <v>0.49840000000000001</v>
      </c>
    </row>
    <row r="149" spans="1:5" ht="24" customHeight="1" x14ac:dyDescent="0.25">
      <c r="A149" s="127" t="s">
        <v>30</v>
      </c>
      <c r="B149" s="139">
        <v>8.8569999999999996E-2</v>
      </c>
      <c r="C149" s="136">
        <v>5</v>
      </c>
      <c r="D149" s="137" t="s">
        <v>9</v>
      </c>
      <c r="E149" s="62">
        <f t="shared" si="19"/>
        <v>0.44284999999999997</v>
      </c>
    </row>
    <row r="150" spans="1:5" ht="24" customHeight="1" x14ac:dyDescent="0.25">
      <c r="A150" s="127" t="s">
        <v>26</v>
      </c>
      <c r="B150" s="138">
        <v>0.05</v>
      </c>
      <c r="C150" s="136">
        <v>10</v>
      </c>
      <c r="D150" s="137" t="s">
        <v>6</v>
      </c>
      <c r="E150" s="62">
        <f>B150*C150</f>
        <v>0.5</v>
      </c>
    </row>
    <row r="151" spans="1:5" ht="24" customHeight="1" x14ac:dyDescent="0.25">
      <c r="A151" s="68" t="s">
        <v>64</v>
      </c>
      <c r="B151" s="69">
        <v>2.3E-2</v>
      </c>
      <c r="C151" s="70">
        <v>100</v>
      </c>
      <c r="D151" s="71" t="s">
        <v>6</v>
      </c>
      <c r="E151" s="62">
        <f>B151*C151</f>
        <v>2.2999999999999998</v>
      </c>
    </row>
    <row r="152" spans="1:5" ht="24" customHeight="1" x14ac:dyDescent="0.25">
      <c r="A152" s="144" t="s">
        <v>21</v>
      </c>
      <c r="B152" s="145"/>
      <c r="C152" s="146">
        <v>405</v>
      </c>
      <c r="D152" s="144" t="s">
        <v>22</v>
      </c>
      <c r="E152" s="100">
        <f>SUM(E143:E151)</f>
        <v>26.062949999999997</v>
      </c>
    </row>
    <row r="153" spans="1:5" ht="24" customHeight="1" x14ac:dyDescent="0.25">
      <c r="E153" s="147"/>
    </row>
    <row r="154" spans="1:5" ht="19.2" customHeight="1" x14ac:dyDescent="0.25"/>
    <row r="155" spans="1:5" ht="19.2" customHeight="1" x14ac:dyDescent="0.25">
      <c r="A155" s="73" t="s">
        <v>44</v>
      </c>
      <c r="B155" s="23">
        <v>5.94</v>
      </c>
      <c r="C155" s="24">
        <v>1</v>
      </c>
      <c r="D155" s="25" t="s">
        <v>18</v>
      </c>
      <c r="E155" s="23">
        <v>5.94</v>
      </c>
    </row>
    <row r="156" spans="1:5" ht="19.2" customHeight="1" x14ac:dyDescent="0.25">
      <c r="A156" s="105" t="s">
        <v>21</v>
      </c>
      <c r="B156" s="79"/>
      <c r="C156" s="106">
        <v>335</v>
      </c>
      <c r="D156" s="107" t="s">
        <v>22</v>
      </c>
      <c r="E156" s="108">
        <f>SUM(E152:E155)</f>
        <v>32.002949999999998</v>
      </c>
    </row>
    <row r="157" spans="1:5" ht="19.2" customHeight="1" x14ac:dyDescent="0.25"/>
    <row r="158" spans="1:5" ht="19.2" customHeight="1" x14ac:dyDescent="0.25">
      <c r="A158" s="161" t="s">
        <v>86</v>
      </c>
      <c r="B158" s="161"/>
      <c r="C158" s="161"/>
      <c r="D158" s="161"/>
      <c r="E158" s="161"/>
    </row>
    <row r="159" spans="1:5" ht="19.2" customHeight="1" x14ac:dyDescent="0.25">
      <c r="A159" s="159" t="s">
        <v>70</v>
      </c>
      <c r="B159" s="159"/>
      <c r="C159" s="159"/>
      <c r="D159" s="159"/>
      <c r="E159" s="159"/>
    </row>
    <row r="160" spans="1:5" ht="19.2" customHeight="1" x14ac:dyDescent="0.25">
      <c r="A160" s="125" t="s">
        <v>0</v>
      </c>
      <c r="B160" s="130" t="s">
        <v>1</v>
      </c>
      <c r="C160" s="130" t="s">
        <v>2</v>
      </c>
      <c r="D160" s="130" t="s">
        <v>3</v>
      </c>
      <c r="E160" s="130" t="s">
        <v>4</v>
      </c>
    </row>
    <row r="161" spans="1:7" ht="19.2" customHeight="1" x14ac:dyDescent="0.25">
      <c r="A161" s="126" t="s">
        <v>84</v>
      </c>
      <c r="B161" s="148">
        <v>0.155</v>
      </c>
      <c r="C161" s="132">
        <v>100</v>
      </c>
      <c r="D161" s="133" t="s">
        <v>6</v>
      </c>
      <c r="E161" s="62">
        <f>B161*C161</f>
        <v>15.5</v>
      </c>
    </row>
    <row r="162" spans="1:7" ht="19.2" customHeight="1" x14ac:dyDescent="0.25">
      <c r="A162" s="127" t="s">
        <v>26</v>
      </c>
      <c r="B162" s="138">
        <v>0.05</v>
      </c>
      <c r="C162" s="136">
        <v>20</v>
      </c>
      <c r="D162" s="137" t="s">
        <v>6</v>
      </c>
      <c r="E162" s="62">
        <f t="shared" ref="E162:E170" si="20">B162*C162</f>
        <v>1</v>
      </c>
    </row>
    <row r="163" spans="1:7" ht="19.2" customHeight="1" x14ac:dyDescent="0.25">
      <c r="A163" s="127" t="s">
        <v>87</v>
      </c>
      <c r="B163" s="138">
        <v>0.16</v>
      </c>
      <c r="C163" s="136">
        <v>15</v>
      </c>
      <c r="D163" s="137" t="s">
        <v>6</v>
      </c>
      <c r="E163" s="62">
        <f t="shared" si="20"/>
        <v>2.4</v>
      </c>
    </row>
    <row r="164" spans="1:7" ht="18.600000000000001" customHeight="1" x14ac:dyDescent="0.25">
      <c r="A164" s="127" t="s">
        <v>20</v>
      </c>
      <c r="B164" s="139">
        <v>4.1669999999999999E-2</v>
      </c>
      <c r="C164" s="136">
        <v>10</v>
      </c>
      <c r="D164" s="137" t="s">
        <v>6</v>
      </c>
      <c r="E164" s="62">
        <f t="shared" si="20"/>
        <v>0.41669999999999996</v>
      </c>
    </row>
    <row r="165" spans="1:7" ht="18.600000000000001" customHeight="1" x14ac:dyDescent="0.25">
      <c r="A165" s="127" t="s">
        <v>14</v>
      </c>
      <c r="B165" s="138">
        <v>7.0000000000000007E-2</v>
      </c>
      <c r="C165" s="136">
        <v>10</v>
      </c>
      <c r="D165" s="137" t="s">
        <v>6</v>
      </c>
      <c r="E165" s="62">
        <f t="shared" si="20"/>
        <v>0.70000000000000007</v>
      </c>
      <c r="F165" s="13"/>
      <c r="G165" s="13"/>
    </row>
    <row r="166" spans="1:7" ht="18.600000000000001" customHeight="1" x14ac:dyDescent="0.25">
      <c r="A166" s="127" t="s">
        <v>15</v>
      </c>
      <c r="B166" s="135">
        <v>3.7999999999999999E-2</v>
      </c>
      <c r="C166" s="136">
        <v>30</v>
      </c>
      <c r="D166" s="137" t="s">
        <v>6</v>
      </c>
      <c r="E166" s="62">
        <f t="shared" si="20"/>
        <v>1.1399999999999999</v>
      </c>
    </row>
    <row r="167" spans="1:7" ht="18.600000000000001" customHeight="1" x14ac:dyDescent="0.25">
      <c r="A167" s="127" t="s">
        <v>8</v>
      </c>
      <c r="B167" s="135">
        <v>4.7E-2</v>
      </c>
      <c r="C167" s="136">
        <v>15</v>
      </c>
      <c r="D167" s="137" t="s">
        <v>9</v>
      </c>
      <c r="E167" s="62">
        <f t="shared" si="20"/>
        <v>0.70499999999999996</v>
      </c>
    </row>
    <row r="168" spans="1:7" ht="18.600000000000001" customHeight="1" x14ac:dyDescent="0.25">
      <c r="A168" s="127" t="s">
        <v>13</v>
      </c>
      <c r="B168" s="135">
        <v>1.4999999999999999E-2</v>
      </c>
      <c r="C168" s="136">
        <v>3</v>
      </c>
      <c r="D168" s="137" t="s">
        <v>6</v>
      </c>
      <c r="E168" s="62">
        <f t="shared" si="20"/>
        <v>4.4999999999999998E-2</v>
      </c>
    </row>
    <row r="169" spans="1:7" ht="18.600000000000001" customHeight="1" x14ac:dyDescent="0.25">
      <c r="A169" s="127" t="s">
        <v>11</v>
      </c>
      <c r="B169" s="138">
        <v>7.0000000000000007E-2</v>
      </c>
      <c r="C169" s="136">
        <v>5</v>
      </c>
      <c r="D169" s="137" t="s">
        <v>6</v>
      </c>
      <c r="E169" s="62">
        <f t="shared" si="20"/>
        <v>0.35000000000000003</v>
      </c>
    </row>
    <row r="170" spans="1:7" ht="18.600000000000001" customHeight="1" x14ac:dyDescent="0.25">
      <c r="A170" s="127" t="s">
        <v>12</v>
      </c>
      <c r="B170" s="140">
        <v>0.3125</v>
      </c>
      <c r="C170" s="136">
        <v>3</v>
      </c>
      <c r="D170" s="137" t="s">
        <v>6</v>
      </c>
      <c r="E170" s="62">
        <f t="shared" si="20"/>
        <v>0.9375</v>
      </c>
    </row>
    <row r="171" spans="1:7" ht="18.600000000000001" customHeight="1" x14ac:dyDescent="0.25">
      <c r="A171" s="127" t="s">
        <v>10</v>
      </c>
      <c r="B171" s="135">
        <v>0.27600000000000002</v>
      </c>
      <c r="C171" s="136">
        <v>2</v>
      </c>
      <c r="D171" s="137" t="s">
        <v>6</v>
      </c>
      <c r="E171" s="62">
        <f t="shared" ref="E171" si="21">B171*C171</f>
        <v>0.55200000000000005</v>
      </c>
    </row>
    <row r="172" spans="1:7" ht="18.600000000000001" customHeight="1" x14ac:dyDescent="0.25">
      <c r="A172" s="68" t="s">
        <v>64</v>
      </c>
      <c r="B172" s="69">
        <v>2.3E-2</v>
      </c>
      <c r="C172" s="70">
        <v>100</v>
      </c>
      <c r="D172" s="71" t="s">
        <v>6</v>
      </c>
      <c r="E172" s="62">
        <f>B172*C172</f>
        <v>2.2999999999999998</v>
      </c>
    </row>
    <row r="173" spans="1:7" ht="18.600000000000001" customHeight="1" x14ac:dyDescent="0.25">
      <c r="A173" s="144" t="s">
        <v>21</v>
      </c>
      <c r="B173" s="145"/>
      <c r="C173" s="146">
        <v>405</v>
      </c>
      <c r="D173" s="144" t="s">
        <v>22</v>
      </c>
      <c r="E173" s="100">
        <f>SUM(E161:E172)</f>
        <v>26.046199999999999</v>
      </c>
    </row>
    <row r="174" spans="1:7" ht="18.600000000000001" customHeight="1" x14ac:dyDescent="0.25"/>
    <row r="175" spans="1:7" ht="18.600000000000001" customHeight="1" x14ac:dyDescent="0.25"/>
    <row r="176" spans="1:7" ht="18.600000000000001" customHeight="1" x14ac:dyDescent="0.25">
      <c r="A176" s="73" t="s">
        <v>44</v>
      </c>
      <c r="B176" s="23">
        <v>5.94</v>
      </c>
      <c r="C176" s="24">
        <v>1</v>
      </c>
      <c r="D176" s="25" t="s">
        <v>18</v>
      </c>
      <c r="E176" s="23">
        <v>5.94</v>
      </c>
    </row>
    <row r="177" spans="1:5" ht="18.600000000000001" customHeight="1" x14ac:dyDescent="0.25">
      <c r="A177" s="105" t="s">
        <v>21</v>
      </c>
      <c r="B177" s="79"/>
      <c r="C177" s="106">
        <v>335</v>
      </c>
      <c r="D177" s="107" t="s">
        <v>22</v>
      </c>
      <c r="E177" s="108">
        <f>SUM(E173:E176)</f>
        <v>31.9862</v>
      </c>
    </row>
    <row r="178" spans="1:5" ht="18.600000000000001" customHeight="1" x14ac:dyDescent="0.25"/>
    <row r="179" spans="1:5" ht="18.600000000000001" customHeight="1" x14ac:dyDescent="0.25">
      <c r="A179" s="163" t="s">
        <v>88</v>
      </c>
      <c r="B179" s="163"/>
      <c r="C179" s="163"/>
      <c r="D179" s="163"/>
      <c r="E179" s="163"/>
    </row>
    <row r="180" spans="1:5" ht="18.600000000000001" customHeight="1" x14ac:dyDescent="0.25">
      <c r="A180" s="159" t="s">
        <v>72</v>
      </c>
      <c r="B180" s="159"/>
      <c r="C180" s="159"/>
      <c r="D180" s="159"/>
      <c r="E180" s="159"/>
    </row>
    <row r="181" spans="1:5" ht="19.2" customHeight="1" x14ac:dyDescent="0.25">
      <c r="A181" s="125" t="s">
        <v>0</v>
      </c>
      <c r="B181" s="130" t="s">
        <v>1</v>
      </c>
      <c r="C181" s="130" t="s">
        <v>2</v>
      </c>
      <c r="D181" s="130" t="s">
        <v>3</v>
      </c>
      <c r="E181" s="130" t="s">
        <v>4</v>
      </c>
    </row>
    <row r="182" spans="1:5" ht="16.2" customHeight="1" x14ac:dyDescent="0.25">
      <c r="A182" s="126" t="s">
        <v>23</v>
      </c>
      <c r="B182" s="131">
        <v>0.14152000000000001</v>
      </c>
      <c r="C182" s="132">
        <v>100</v>
      </c>
      <c r="D182" s="133" t="s">
        <v>6</v>
      </c>
      <c r="E182" s="62">
        <f t="shared" ref="E182:E199" si="22">B182*C182</f>
        <v>14.152000000000001</v>
      </c>
    </row>
    <row r="183" spans="1:5" ht="16.2" customHeight="1" x14ac:dyDescent="0.25">
      <c r="A183" s="127" t="s">
        <v>27</v>
      </c>
      <c r="B183" s="139">
        <v>2.188E-2</v>
      </c>
      <c r="C183" s="136">
        <v>30</v>
      </c>
      <c r="D183" s="137" t="s">
        <v>6</v>
      </c>
      <c r="E183" s="62">
        <f t="shared" si="22"/>
        <v>0.65639999999999998</v>
      </c>
    </row>
    <row r="184" spans="1:5" ht="16.2" customHeight="1" x14ac:dyDescent="0.25">
      <c r="A184" s="127" t="s">
        <v>7</v>
      </c>
      <c r="B184" s="138">
        <v>0.1</v>
      </c>
      <c r="C184" s="136">
        <v>30</v>
      </c>
      <c r="D184" s="137" t="s">
        <v>6</v>
      </c>
      <c r="E184" s="62">
        <f t="shared" si="22"/>
        <v>3</v>
      </c>
    </row>
    <row r="185" spans="1:5" ht="16.2" customHeight="1" x14ac:dyDescent="0.25">
      <c r="A185" s="127" t="s">
        <v>82</v>
      </c>
      <c r="B185" s="135">
        <v>7.9000000000000001E-2</v>
      </c>
      <c r="C185" s="136">
        <v>30</v>
      </c>
      <c r="D185" s="137" t="s">
        <v>6</v>
      </c>
      <c r="E185" s="62">
        <f t="shared" si="22"/>
        <v>2.37</v>
      </c>
    </row>
    <row r="186" spans="1:5" ht="16.2" customHeight="1" x14ac:dyDescent="0.25">
      <c r="A186" s="127" t="s">
        <v>15</v>
      </c>
      <c r="B186" s="135">
        <v>3.7999999999999999E-2</v>
      </c>
      <c r="C186" s="136">
        <v>30</v>
      </c>
      <c r="D186" s="137" t="s">
        <v>6</v>
      </c>
      <c r="E186" s="62">
        <f t="shared" si="22"/>
        <v>1.1399999999999999</v>
      </c>
    </row>
    <row r="187" spans="1:5" ht="16.2" customHeight="1" x14ac:dyDescent="0.25">
      <c r="A187" s="127" t="s">
        <v>14</v>
      </c>
      <c r="B187" s="138">
        <v>7.0000000000000007E-2</v>
      </c>
      <c r="C187" s="136">
        <v>10</v>
      </c>
      <c r="D187" s="137" t="s">
        <v>6</v>
      </c>
      <c r="E187" s="62">
        <f t="shared" si="22"/>
        <v>0.70000000000000007</v>
      </c>
    </row>
    <row r="188" spans="1:5" ht="16.2" customHeight="1" x14ac:dyDescent="0.25">
      <c r="A188" s="127" t="s">
        <v>20</v>
      </c>
      <c r="B188" s="139">
        <v>4.1669999999999999E-2</v>
      </c>
      <c r="C188" s="136">
        <v>10</v>
      </c>
      <c r="D188" s="137" t="s">
        <v>6</v>
      </c>
      <c r="E188" s="62">
        <f t="shared" si="22"/>
        <v>0.41669999999999996</v>
      </c>
    </row>
    <row r="189" spans="1:5" ht="16.2" customHeight="1" x14ac:dyDescent="0.25">
      <c r="A189" s="127" t="s">
        <v>28</v>
      </c>
      <c r="B189" s="140">
        <v>6.25E-2</v>
      </c>
      <c r="C189" s="136">
        <v>20</v>
      </c>
      <c r="D189" s="137" t="s">
        <v>6</v>
      </c>
      <c r="E189" s="62">
        <f t="shared" si="22"/>
        <v>1.25</v>
      </c>
    </row>
    <row r="190" spans="1:5" ht="16.2" customHeight="1" x14ac:dyDescent="0.25">
      <c r="A190" s="127" t="s">
        <v>8</v>
      </c>
      <c r="B190" s="135">
        <v>4.7E-2</v>
      </c>
      <c r="C190" s="136">
        <v>15</v>
      </c>
      <c r="D190" s="137" t="s">
        <v>9</v>
      </c>
      <c r="E190" s="62">
        <f t="shared" si="22"/>
        <v>0.70499999999999996</v>
      </c>
    </row>
    <row r="191" spans="1:5" ht="16.2" customHeight="1" x14ac:dyDescent="0.25">
      <c r="A191" s="127" t="s">
        <v>13</v>
      </c>
      <c r="B191" s="135">
        <v>1.4999999999999999E-2</v>
      </c>
      <c r="C191" s="136">
        <v>5</v>
      </c>
      <c r="D191" s="137" t="s">
        <v>6</v>
      </c>
      <c r="E191" s="62">
        <f t="shared" si="22"/>
        <v>7.4999999999999997E-2</v>
      </c>
    </row>
    <row r="192" spans="1:5" ht="16.2" customHeight="1" x14ac:dyDescent="0.25">
      <c r="A192" s="127" t="s">
        <v>11</v>
      </c>
      <c r="B192" s="138">
        <v>7.0000000000000007E-2</v>
      </c>
      <c r="C192" s="136">
        <v>5</v>
      </c>
      <c r="D192" s="137" t="s">
        <v>6</v>
      </c>
      <c r="E192" s="62">
        <f t="shared" si="22"/>
        <v>0.35000000000000003</v>
      </c>
    </row>
    <row r="193" spans="1:5" ht="16.2" customHeight="1" x14ac:dyDescent="0.25">
      <c r="A193" s="127" t="s">
        <v>89</v>
      </c>
      <c r="B193" s="138">
        <v>0.03</v>
      </c>
      <c r="C193" s="136">
        <v>30</v>
      </c>
      <c r="D193" s="137" t="s">
        <v>6</v>
      </c>
      <c r="E193" s="62">
        <f t="shared" si="22"/>
        <v>0.89999999999999991</v>
      </c>
    </row>
    <row r="194" spans="1:5" ht="16.2" customHeight="1" x14ac:dyDescent="0.25">
      <c r="A194" s="127" t="s">
        <v>16</v>
      </c>
      <c r="B194" s="135">
        <v>5.5E-2</v>
      </c>
      <c r="C194" s="136">
        <v>7</v>
      </c>
      <c r="D194" s="137" t="s">
        <v>9</v>
      </c>
      <c r="E194" s="62">
        <f t="shared" si="22"/>
        <v>0.38500000000000001</v>
      </c>
    </row>
    <row r="195" spans="1:5" ht="16.2" customHeight="1" x14ac:dyDescent="0.25">
      <c r="A195" s="127" t="s">
        <v>36</v>
      </c>
      <c r="B195" s="140">
        <v>7.1199999999999999E-2</v>
      </c>
      <c r="C195" s="136">
        <v>7</v>
      </c>
      <c r="D195" s="137" t="s">
        <v>9</v>
      </c>
      <c r="E195" s="62">
        <f t="shared" si="22"/>
        <v>0.49840000000000001</v>
      </c>
    </row>
    <row r="196" spans="1:5" ht="16.2" customHeight="1" x14ac:dyDescent="0.25">
      <c r="A196" s="127" t="s">
        <v>90</v>
      </c>
      <c r="B196" s="140">
        <v>5.8900000000000001E-2</v>
      </c>
      <c r="C196" s="136">
        <v>50</v>
      </c>
      <c r="D196" s="137" t="s">
        <v>6</v>
      </c>
      <c r="E196" s="62">
        <f t="shared" si="22"/>
        <v>2.9449999999999998</v>
      </c>
    </row>
    <row r="197" spans="1:5" ht="16.2" customHeight="1" x14ac:dyDescent="0.25">
      <c r="A197" s="127" t="s">
        <v>81</v>
      </c>
      <c r="B197" s="138">
        <v>0.1</v>
      </c>
      <c r="C197" s="136">
        <v>10</v>
      </c>
      <c r="D197" s="137" t="s">
        <v>6</v>
      </c>
      <c r="E197" s="62">
        <f t="shared" si="22"/>
        <v>1</v>
      </c>
    </row>
    <row r="198" spans="1:5" ht="16.2" customHeight="1" x14ac:dyDescent="0.25">
      <c r="A198" s="127" t="s">
        <v>42</v>
      </c>
      <c r="B198" s="138">
        <v>0.03</v>
      </c>
      <c r="C198" s="136">
        <v>7</v>
      </c>
      <c r="D198" s="137" t="s">
        <v>9</v>
      </c>
      <c r="E198" s="62">
        <f t="shared" si="22"/>
        <v>0.21</v>
      </c>
    </row>
    <row r="199" spans="1:5" ht="16.2" customHeight="1" x14ac:dyDescent="0.25">
      <c r="A199" s="127" t="s">
        <v>19</v>
      </c>
      <c r="B199" s="135">
        <v>2.7E-2</v>
      </c>
      <c r="C199" s="136">
        <v>5</v>
      </c>
      <c r="D199" s="137" t="s">
        <v>6</v>
      </c>
      <c r="E199" s="62">
        <f t="shared" si="22"/>
        <v>0.13500000000000001</v>
      </c>
    </row>
    <row r="200" spans="1:5" ht="16.2" customHeight="1" x14ac:dyDescent="0.25">
      <c r="A200" s="68" t="s">
        <v>64</v>
      </c>
      <c r="B200" s="69">
        <v>2.3E-2</v>
      </c>
      <c r="C200" s="70">
        <v>100</v>
      </c>
      <c r="D200" s="71" t="s">
        <v>6</v>
      </c>
      <c r="E200" s="62">
        <f>B200*C200</f>
        <v>2.2999999999999998</v>
      </c>
    </row>
    <row r="201" spans="1:5" ht="21" customHeight="1" x14ac:dyDescent="0.25">
      <c r="A201" s="144" t="s">
        <v>21</v>
      </c>
      <c r="B201" s="145"/>
      <c r="C201" s="146">
        <v>405</v>
      </c>
      <c r="D201" s="144" t="s">
        <v>22</v>
      </c>
      <c r="E201" s="100">
        <f>SUM(E182:E200)</f>
        <v>33.188499999999998</v>
      </c>
    </row>
    <row r="202" spans="1:5" ht="19.2" customHeight="1" x14ac:dyDescent="0.25"/>
    <row r="203" spans="1:5" ht="19.2" customHeight="1" x14ac:dyDescent="0.25"/>
    <row r="204" spans="1:5" ht="19.2" customHeight="1" x14ac:dyDescent="0.25">
      <c r="A204" s="73" t="s">
        <v>44</v>
      </c>
      <c r="B204" s="23">
        <v>5.94</v>
      </c>
      <c r="C204" s="24">
        <v>1</v>
      </c>
      <c r="D204" s="25" t="s">
        <v>18</v>
      </c>
      <c r="E204" s="23">
        <v>5.94</v>
      </c>
    </row>
    <row r="205" spans="1:5" ht="19.2" customHeight="1" x14ac:dyDescent="0.25">
      <c r="A205" s="105" t="s">
        <v>21</v>
      </c>
      <c r="B205" s="79"/>
      <c r="C205" s="106">
        <v>335</v>
      </c>
      <c r="D205" s="107" t="s">
        <v>22</v>
      </c>
      <c r="E205" s="108">
        <f>SUM(E201:E204)</f>
        <v>39.128499999999995</v>
      </c>
    </row>
    <row r="206" spans="1:5" ht="21" customHeight="1" x14ac:dyDescent="0.25"/>
    <row r="207" spans="1:5" ht="21" customHeight="1" x14ac:dyDescent="0.25">
      <c r="A207" s="160" t="s">
        <v>93</v>
      </c>
      <c r="B207" s="160"/>
      <c r="C207" s="160"/>
      <c r="D207" s="160"/>
      <c r="E207" s="160"/>
    </row>
    <row r="208" spans="1:5" ht="21" customHeight="1" x14ac:dyDescent="0.25">
      <c r="A208" s="159" t="s">
        <v>94</v>
      </c>
      <c r="B208" s="159"/>
      <c r="C208" s="159"/>
      <c r="D208" s="159"/>
      <c r="E208" s="159"/>
    </row>
    <row r="209" spans="1:5" ht="21" customHeight="1" x14ac:dyDescent="0.25">
      <c r="A209" s="125" t="s">
        <v>0</v>
      </c>
      <c r="B209" s="130" t="s">
        <v>1</v>
      </c>
      <c r="C209" s="130" t="s">
        <v>2</v>
      </c>
      <c r="D209" s="130" t="s">
        <v>3</v>
      </c>
      <c r="E209" s="130" t="s">
        <v>4</v>
      </c>
    </row>
    <row r="210" spans="1:5" ht="21" customHeight="1" x14ac:dyDescent="0.25">
      <c r="A210" s="126" t="s">
        <v>91</v>
      </c>
      <c r="B210" s="134">
        <v>0.19</v>
      </c>
      <c r="C210" s="132">
        <v>100</v>
      </c>
      <c r="D210" s="133" t="s">
        <v>6</v>
      </c>
      <c r="E210" s="62">
        <f t="shared" ref="E210:E221" si="23">B210*C210</f>
        <v>19</v>
      </c>
    </row>
    <row r="211" spans="1:5" ht="21" customHeight="1" x14ac:dyDescent="0.25">
      <c r="A211" s="127" t="s">
        <v>56</v>
      </c>
      <c r="B211" s="135">
        <v>2.7E-2</v>
      </c>
      <c r="C211" s="136">
        <v>30</v>
      </c>
      <c r="D211" s="137" t="s">
        <v>6</v>
      </c>
      <c r="E211" s="62">
        <f t="shared" si="23"/>
        <v>0.80999999999999994</v>
      </c>
    </row>
    <row r="212" spans="1:5" ht="21" customHeight="1" x14ac:dyDescent="0.25">
      <c r="A212" s="127" t="s">
        <v>15</v>
      </c>
      <c r="B212" s="135">
        <v>3.7999999999999999E-2</v>
      </c>
      <c r="C212" s="136">
        <v>20</v>
      </c>
      <c r="D212" s="137" t="s">
        <v>6</v>
      </c>
      <c r="E212" s="62">
        <f t="shared" si="23"/>
        <v>0.76</v>
      </c>
    </row>
    <row r="213" spans="1:5" ht="21" customHeight="1" x14ac:dyDescent="0.25">
      <c r="A213" s="127" t="s">
        <v>14</v>
      </c>
      <c r="B213" s="138">
        <v>7.0000000000000007E-2</v>
      </c>
      <c r="C213" s="136">
        <v>10</v>
      </c>
      <c r="D213" s="137" t="s">
        <v>6</v>
      </c>
      <c r="E213" s="62">
        <f t="shared" si="23"/>
        <v>0.70000000000000007</v>
      </c>
    </row>
    <row r="214" spans="1:5" ht="21" customHeight="1" x14ac:dyDescent="0.25">
      <c r="A214" s="127" t="s">
        <v>20</v>
      </c>
      <c r="B214" s="139">
        <v>4.1669999999999999E-2</v>
      </c>
      <c r="C214" s="136">
        <v>5</v>
      </c>
      <c r="D214" s="137" t="s">
        <v>6</v>
      </c>
      <c r="E214" s="62">
        <f t="shared" si="23"/>
        <v>0.20834999999999998</v>
      </c>
    </row>
    <row r="215" spans="1:5" ht="21" customHeight="1" x14ac:dyDescent="0.25">
      <c r="A215" s="127" t="s">
        <v>87</v>
      </c>
      <c r="B215" s="138">
        <v>0.16</v>
      </c>
      <c r="C215" s="136">
        <v>10</v>
      </c>
      <c r="D215" s="137" t="s">
        <v>6</v>
      </c>
      <c r="E215" s="62">
        <f t="shared" si="23"/>
        <v>1.6</v>
      </c>
    </row>
    <row r="216" spans="1:5" ht="21" customHeight="1" x14ac:dyDescent="0.25">
      <c r="A216" s="127" t="s">
        <v>8</v>
      </c>
      <c r="B216" s="135">
        <v>4.7E-2</v>
      </c>
      <c r="C216" s="136">
        <v>7</v>
      </c>
      <c r="D216" s="137" t="s">
        <v>9</v>
      </c>
      <c r="E216" s="62">
        <f t="shared" si="23"/>
        <v>0.32900000000000001</v>
      </c>
    </row>
    <row r="217" spans="1:5" ht="21" customHeight="1" x14ac:dyDescent="0.25">
      <c r="A217" s="127" t="s">
        <v>11</v>
      </c>
      <c r="B217" s="138">
        <v>7.0000000000000007E-2</v>
      </c>
      <c r="C217" s="136">
        <v>5</v>
      </c>
      <c r="D217" s="137" t="s">
        <v>6</v>
      </c>
      <c r="E217" s="62">
        <f t="shared" si="23"/>
        <v>0.35000000000000003</v>
      </c>
    </row>
    <row r="218" spans="1:5" ht="21" customHeight="1" x14ac:dyDescent="0.25">
      <c r="A218" s="127" t="s">
        <v>54</v>
      </c>
      <c r="B218" s="140">
        <v>4.1399999999999999E-2</v>
      </c>
      <c r="C218" s="136">
        <v>5</v>
      </c>
      <c r="D218" s="137" t="s">
        <v>9</v>
      </c>
      <c r="E218" s="62">
        <f t="shared" si="23"/>
        <v>0.20699999999999999</v>
      </c>
    </row>
    <row r="219" spans="1:5" ht="21" customHeight="1" x14ac:dyDescent="0.25">
      <c r="A219" s="127" t="s">
        <v>92</v>
      </c>
      <c r="B219" s="135">
        <v>2.5000000000000001E-2</v>
      </c>
      <c r="C219" s="136">
        <v>7</v>
      </c>
      <c r="D219" s="137" t="s">
        <v>9</v>
      </c>
      <c r="E219" s="62">
        <f t="shared" si="23"/>
        <v>0.17500000000000002</v>
      </c>
    </row>
    <row r="220" spans="1:5" ht="21" customHeight="1" x14ac:dyDescent="0.25">
      <c r="A220" s="127" t="s">
        <v>10</v>
      </c>
      <c r="B220" s="135">
        <v>0.27600000000000002</v>
      </c>
      <c r="C220" s="136">
        <v>2</v>
      </c>
      <c r="D220" s="137" t="s">
        <v>6</v>
      </c>
      <c r="E220" s="62">
        <f t="shared" si="23"/>
        <v>0.55200000000000005</v>
      </c>
    </row>
    <row r="221" spans="1:5" ht="21" customHeight="1" x14ac:dyDescent="0.25">
      <c r="A221" s="127" t="s">
        <v>89</v>
      </c>
      <c r="B221" s="138">
        <v>0.03</v>
      </c>
      <c r="C221" s="136">
        <v>20</v>
      </c>
      <c r="D221" s="137" t="s">
        <v>6</v>
      </c>
      <c r="E221" s="62">
        <f t="shared" si="23"/>
        <v>0.6</v>
      </c>
    </row>
    <row r="222" spans="1:5" ht="21" customHeight="1" x14ac:dyDescent="0.25">
      <c r="A222" s="68" t="s">
        <v>64</v>
      </c>
      <c r="B222" s="69">
        <v>2.3E-2</v>
      </c>
      <c r="C222" s="70">
        <v>100</v>
      </c>
      <c r="D222" s="71" t="s">
        <v>6</v>
      </c>
      <c r="E222" s="62">
        <f>B222*C222</f>
        <v>2.2999999999999998</v>
      </c>
    </row>
    <row r="223" spans="1:5" ht="21" customHeight="1" x14ac:dyDescent="0.25">
      <c r="A223" s="144" t="s">
        <v>21</v>
      </c>
      <c r="B223" s="145"/>
      <c r="C223" s="146">
        <v>405</v>
      </c>
      <c r="D223" s="144" t="s">
        <v>22</v>
      </c>
      <c r="E223" s="100">
        <f>SUM(E210:E222)</f>
        <v>27.591350000000006</v>
      </c>
    </row>
    <row r="224" spans="1:5" ht="21" customHeight="1" x14ac:dyDescent="0.25"/>
    <row r="225" spans="1:5" ht="21" customHeight="1" x14ac:dyDescent="0.25"/>
    <row r="226" spans="1:5" ht="21" customHeight="1" x14ac:dyDescent="0.25">
      <c r="A226" s="73" t="s">
        <v>44</v>
      </c>
      <c r="B226" s="23">
        <v>5.94</v>
      </c>
      <c r="C226" s="24">
        <v>1</v>
      </c>
      <c r="D226" s="25" t="s">
        <v>18</v>
      </c>
      <c r="E226" s="23">
        <v>5.94</v>
      </c>
    </row>
    <row r="227" spans="1:5" ht="21" customHeight="1" x14ac:dyDescent="0.25">
      <c r="A227" s="105" t="s">
        <v>21</v>
      </c>
      <c r="B227" s="79"/>
      <c r="C227" s="106">
        <v>335</v>
      </c>
      <c r="D227" s="107" t="s">
        <v>22</v>
      </c>
      <c r="E227" s="108">
        <f>SUM(E223:E226)</f>
        <v>33.531350000000003</v>
      </c>
    </row>
    <row r="228" spans="1:5" ht="21" customHeight="1" x14ac:dyDescent="0.25"/>
    <row r="229" spans="1:5" ht="21" customHeight="1" x14ac:dyDescent="0.25">
      <c r="A229" s="160" t="s">
        <v>96</v>
      </c>
      <c r="B229" s="160"/>
      <c r="C229" s="160"/>
      <c r="D229" s="160"/>
      <c r="E229" s="160"/>
    </row>
    <row r="230" spans="1:5" ht="21" customHeight="1" x14ac:dyDescent="0.25">
      <c r="A230" s="159" t="s">
        <v>67</v>
      </c>
      <c r="B230" s="159"/>
      <c r="C230" s="159"/>
      <c r="D230" s="159"/>
      <c r="E230" s="159"/>
    </row>
    <row r="231" spans="1:5" ht="21" customHeight="1" x14ac:dyDescent="0.25">
      <c r="A231" s="125" t="s">
        <v>0</v>
      </c>
      <c r="B231" s="130" t="s">
        <v>1</v>
      </c>
      <c r="C231" s="130" t="s">
        <v>2</v>
      </c>
      <c r="D231" s="130" t="s">
        <v>3</v>
      </c>
      <c r="E231" s="130" t="s">
        <v>4</v>
      </c>
    </row>
    <row r="232" spans="1:5" ht="21" customHeight="1" x14ac:dyDescent="0.25">
      <c r="A232" s="126" t="s">
        <v>52</v>
      </c>
      <c r="B232" s="131">
        <v>0.22667000000000001</v>
      </c>
      <c r="C232" s="132">
        <v>100</v>
      </c>
      <c r="D232" s="133" t="s">
        <v>6</v>
      </c>
      <c r="E232" s="47">
        <f t="shared" ref="E232:E241" si="24">B232*C232</f>
        <v>22.667000000000002</v>
      </c>
    </row>
    <row r="233" spans="1:5" ht="21" customHeight="1" x14ac:dyDescent="0.25">
      <c r="A233" s="127" t="s">
        <v>87</v>
      </c>
      <c r="B233" s="138">
        <v>0.16</v>
      </c>
      <c r="C233" s="136">
        <v>50</v>
      </c>
      <c r="D233" s="137" t="s">
        <v>6</v>
      </c>
      <c r="E233" s="47">
        <f t="shared" si="24"/>
        <v>8</v>
      </c>
    </row>
    <row r="234" spans="1:5" ht="21" customHeight="1" x14ac:dyDescent="0.25">
      <c r="A234" s="127" t="s">
        <v>10</v>
      </c>
      <c r="B234" s="135">
        <v>0.27600000000000002</v>
      </c>
      <c r="C234" s="136">
        <v>2</v>
      </c>
      <c r="D234" s="137" t="s">
        <v>6</v>
      </c>
      <c r="E234" s="47">
        <f t="shared" si="24"/>
        <v>0.55200000000000005</v>
      </c>
    </row>
    <row r="235" spans="1:5" ht="21" customHeight="1" x14ac:dyDescent="0.25">
      <c r="A235" s="127" t="s">
        <v>12</v>
      </c>
      <c r="B235" s="140">
        <v>0.3125</v>
      </c>
      <c r="C235" s="136">
        <v>3</v>
      </c>
      <c r="D235" s="137" t="s">
        <v>6</v>
      </c>
      <c r="E235" s="47">
        <f t="shared" si="24"/>
        <v>0.9375</v>
      </c>
    </row>
    <row r="236" spans="1:5" ht="21" customHeight="1" x14ac:dyDescent="0.25">
      <c r="A236" s="127" t="s">
        <v>13</v>
      </c>
      <c r="B236" s="135">
        <v>1.4999999999999999E-2</v>
      </c>
      <c r="C236" s="136">
        <v>2</v>
      </c>
      <c r="D236" s="137" t="s">
        <v>6</v>
      </c>
      <c r="E236" s="47">
        <f t="shared" si="24"/>
        <v>0.03</v>
      </c>
    </row>
    <row r="237" spans="1:5" ht="21" customHeight="1" x14ac:dyDescent="0.25">
      <c r="A237" s="127" t="s">
        <v>8</v>
      </c>
      <c r="B237" s="135">
        <v>4.7E-2</v>
      </c>
      <c r="C237" s="136">
        <v>15</v>
      </c>
      <c r="D237" s="137" t="s">
        <v>9</v>
      </c>
      <c r="E237" s="47">
        <f t="shared" si="24"/>
        <v>0.70499999999999996</v>
      </c>
    </row>
    <row r="238" spans="1:5" ht="21" customHeight="1" x14ac:dyDescent="0.25">
      <c r="A238" s="127" t="s">
        <v>15</v>
      </c>
      <c r="B238" s="135">
        <v>3.7999999999999999E-2</v>
      </c>
      <c r="C238" s="136">
        <v>30</v>
      </c>
      <c r="D238" s="137" t="s">
        <v>6</v>
      </c>
      <c r="E238" s="47">
        <f t="shared" si="24"/>
        <v>1.1399999999999999</v>
      </c>
    </row>
    <row r="239" spans="1:5" ht="21" customHeight="1" x14ac:dyDescent="0.25">
      <c r="A239" s="127" t="s">
        <v>14</v>
      </c>
      <c r="B239" s="138">
        <v>7.0000000000000007E-2</v>
      </c>
      <c r="C239" s="136">
        <v>10</v>
      </c>
      <c r="D239" s="137" t="s">
        <v>6</v>
      </c>
      <c r="E239" s="47">
        <f t="shared" si="24"/>
        <v>0.70000000000000007</v>
      </c>
    </row>
    <row r="240" spans="1:5" ht="21" customHeight="1" x14ac:dyDescent="0.25">
      <c r="A240" s="127" t="s">
        <v>11</v>
      </c>
      <c r="B240" s="138">
        <v>7.0000000000000007E-2</v>
      </c>
      <c r="C240" s="136">
        <v>3</v>
      </c>
      <c r="D240" s="137" t="s">
        <v>6</v>
      </c>
      <c r="E240" s="47">
        <f t="shared" si="24"/>
        <v>0.21000000000000002</v>
      </c>
    </row>
    <row r="241" spans="1:5" ht="21" customHeight="1" x14ac:dyDescent="0.25">
      <c r="A241" s="127" t="s">
        <v>95</v>
      </c>
      <c r="B241" s="138">
        <v>0</v>
      </c>
      <c r="C241" s="136">
        <v>1</v>
      </c>
      <c r="D241" s="149"/>
      <c r="E241" s="47">
        <f t="shared" si="24"/>
        <v>0</v>
      </c>
    </row>
    <row r="242" spans="1:5" ht="21" customHeight="1" x14ac:dyDescent="0.25">
      <c r="A242" s="68" t="s">
        <v>64</v>
      </c>
      <c r="B242" s="150">
        <v>2.3E-2</v>
      </c>
      <c r="C242" s="50">
        <v>100</v>
      </c>
      <c r="D242" s="51" t="s">
        <v>6</v>
      </c>
      <c r="E242" s="47">
        <f>B242*C242</f>
        <v>2.2999999999999998</v>
      </c>
    </row>
    <row r="243" spans="1:5" ht="21" customHeight="1" x14ac:dyDescent="0.25">
      <c r="A243" s="144" t="s">
        <v>21</v>
      </c>
      <c r="B243" s="145"/>
      <c r="C243" s="146">
        <v>405</v>
      </c>
      <c r="D243" s="144" t="s">
        <v>22</v>
      </c>
      <c r="E243" s="100">
        <f>SUM(E232:E242)</f>
        <v>37.241500000000002</v>
      </c>
    </row>
    <row r="244" spans="1:5" ht="21" customHeight="1" x14ac:dyDescent="0.25"/>
    <row r="245" spans="1:5" ht="21" customHeight="1" x14ac:dyDescent="0.25"/>
    <row r="246" spans="1:5" ht="21" customHeight="1" x14ac:dyDescent="0.25">
      <c r="A246" s="73" t="s">
        <v>44</v>
      </c>
      <c r="B246" s="23">
        <v>5.94</v>
      </c>
      <c r="C246" s="24">
        <v>1</v>
      </c>
      <c r="D246" s="25" t="s">
        <v>18</v>
      </c>
      <c r="E246" s="23">
        <v>5.94</v>
      </c>
    </row>
    <row r="247" spans="1:5" ht="21" customHeight="1" x14ac:dyDescent="0.25">
      <c r="A247" s="105" t="s">
        <v>21</v>
      </c>
      <c r="B247" s="79"/>
      <c r="C247" s="106">
        <v>335</v>
      </c>
      <c r="D247" s="107" t="s">
        <v>22</v>
      </c>
      <c r="E247" s="108">
        <f>SUM(E243:E246)</f>
        <v>43.1815</v>
      </c>
    </row>
    <row r="248" spans="1:5" ht="21" customHeight="1" x14ac:dyDescent="0.25"/>
    <row r="249" spans="1:5" ht="21" customHeight="1" x14ac:dyDescent="0.25"/>
    <row r="250" spans="1:5" ht="21" customHeight="1" x14ac:dyDescent="0.25"/>
    <row r="251" spans="1:5" ht="21" customHeight="1" x14ac:dyDescent="0.25"/>
    <row r="252" spans="1:5" ht="21" customHeight="1" x14ac:dyDescent="0.25"/>
    <row r="253" spans="1:5" ht="21" customHeight="1" x14ac:dyDescent="0.25"/>
    <row r="254" spans="1:5" ht="21" customHeight="1" x14ac:dyDescent="0.25"/>
    <row r="255" spans="1:5" ht="21" customHeight="1" x14ac:dyDescent="0.25"/>
    <row r="256" spans="1:5" ht="21" customHeight="1" x14ac:dyDescent="0.25"/>
    <row r="257" ht="21" customHeight="1" x14ac:dyDescent="0.25"/>
    <row r="258" ht="21" customHeight="1" x14ac:dyDescent="0.25"/>
    <row r="259" ht="21" customHeight="1" x14ac:dyDescent="0.25"/>
    <row r="260" ht="21" customHeight="1" x14ac:dyDescent="0.25"/>
    <row r="261" ht="21" customHeight="1" x14ac:dyDescent="0.25"/>
    <row r="262" ht="21" customHeight="1" x14ac:dyDescent="0.25"/>
    <row r="263" ht="21" customHeight="1" x14ac:dyDescent="0.25"/>
  </sheetData>
  <mergeCells count="51">
    <mergeCell ref="H1:L1"/>
    <mergeCell ref="H96:L96"/>
    <mergeCell ref="H76:L76"/>
    <mergeCell ref="H2:L2"/>
    <mergeCell ref="A24:E24"/>
    <mergeCell ref="A51:E51"/>
    <mergeCell ref="A1:E1"/>
    <mergeCell ref="A2:E2"/>
    <mergeCell ref="A74:E75"/>
    <mergeCell ref="H75:L75"/>
    <mergeCell ref="A76:E76"/>
    <mergeCell ref="H52:L52"/>
    <mergeCell ref="H24:L24"/>
    <mergeCell ref="H51:L51"/>
    <mergeCell ref="A25:E25"/>
    <mergeCell ref="H25:L25"/>
    <mergeCell ref="A52:E52"/>
    <mergeCell ref="H119:L119"/>
    <mergeCell ref="A97:E97"/>
    <mergeCell ref="A96:E96"/>
    <mergeCell ref="H118:L118"/>
    <mergeCell ref="A118:E118"/>
    <mergeCell ref="A119:E119"/>
    <mergeCell ref="H113:L113"/>
    <mergeCell ref="H97:L97"/>
    <mergeCell ref="A140:E140"/>
    <mergeCell ref="A141:E141"/>
    <mergeCell ref="A158:E158"/>
    <mergeCell ref="A159:E159"/>
    <mergeCell ref="A179:E179"/>
    <mergeCell ref="A180:E180"/>
    <mergeCell ref="A207:E207"/>
    <mergeCell ref="A208:E208"/>
    <mergeCell ref="A230:E230"/>
    <mergeCell ref="A229:E229"/>
    <mergeCell ref="O1:S1"/>
    <mergeCell ref="O2:S2"/>
    <mergeCell ref="O25:S25"/>
    <mergeCell ref="O24:S24"/>
    <mergeCell ref="O40:S40"/>
    <mergeCell ref="O39:S39"/>
    <mergeCell ref="O55:S55"/>
    <mergeCell ref="O56:S56"/>
    <mergeCell ref="O72:S72"/>
    <mergeCell ref="O73:S73"/>
    <mergeCell ref="O88:S88"/>
    <mergeCell ref="O89:S89"/>
    <mergeCell ref="O106:S106"/>
    <mergeCell ref="O105:S105"/>
    <mergeCell ref="O122:S122"/>
    <mergeCell ref="O121:S12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00913-EE4B-4023-B1CC-DAF1821703BA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One Portion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slimshady.slimshady102@gmail.com</dc:creator>
  <cp:lastModifiedBy>slimshady.slimshady102@gmail.com</cp:lastModifiedBy>
  <cp:lastPrinted>2026-02-05T09:01:17Z</cp:lastPrinted>
  <dcterms:created xsi:type="dcterms:W3CDTF">2026-02-05T07:17:45Z</dcterms:created>
  <dcterms:modified xsi:type="dcterms:W3CDTF">2026-05-01T09:19:47Z</dcterms:modified>
</cp:coreProperties>
</file>